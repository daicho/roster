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5AFF7537-BF6E-4956-86AB-6F2042FD7DBF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Header">Setting!$B$4</definedName>
    <definedName name="_xlnm.Print_Area" localSheetId="1">Template!$A$1:$I$38</definedName>
    <definedName name="Start">Setting!$B$1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2" l="1"/>
  <c r="A2" i="1"/>
  <c r="A3" i="1" l="1"/>
  <c r="B3" i="1" s="1"/>
  <c r="B2" i="1"/>
  <c r="C2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C3" i="1"/>
  <c r="B33" i="1" l="1"/>
  <c r="C4" i="1"/>
  <c r="C5" i="1"/>
  <c r="B4" i="1"/>
  <c r="C33" i="1"/>
  <c r="B34" i="1"/>
  <c r="C34" i="1"/>
  <c r="B5" i="1"/>
  <c r="B6" i="1" l="1"/>
  <c r="C6" i="1"/>
  <c r="C7" i="1"/>
  <c r="B7" i="1"/>
  <c r="B8" i="1" l="1"/>
  <c r="C8" i="1"/>
  <c r="C9" i="1" l="1"/>
  <c r="B9" i="1"/>
  <c r="C10" i="1" l="1"/>
  <c r="B10" i="1"/>
  <c r="B11" i="1" l="1"/>
  <c r="C11" i="1"/>
  <c r="B12" i="1" l="1"/>
  <c r="C12" i="1"/>
  <c r="C13" i="1" l="1"/>
  <c r="B13" i="1"/>
  <c r="C14" i="1" l="1"/>
  <c r="B14" i="1"/>
  <c r="C15" i="1" l="1"/>
  <c r="B15" i="1"/>
  <c r="B16" i="1" l="1"/>
  <c r="C16" i="1"/>
  <c r="C17" i="1" l="1"/>
  <c r="B17" i="1"/>
  <c r="C18" i="1" l="1"/>
  <c r="B18" i="1"/>
  <c r="C19" i="1" l="1"/>
  <c r="B19" i="1"/>
  <c r="B20" i="1" l="1"/>
  <c r="C20" i="1"/>
  <c r="C21" i="1" l="1"/>
  <c r="B21" i="1"/>
  <c r="C22" i="1" l="1"/>
  <c r="B22" i="1"/>
  <c r="C23" i="1" l="1"/>
  <c r="B23" i="1"/>
  <c r="B24" i="1" l="1"/>
  <c r="C24" i="1"/>
  <c r="C25" i="1" l="1"/>
  <c r="B25" i="1"/>
  <c r="C26" i="1" l="1"/>
  <c r="B26" i="1"/>
  <c r="B27" i="1" l="1"/>
  <c r="C27" i="1"/>
  <c r="C28" i="1" l="1"/>
  <c r="B28" i="1"/>
  <c r="C29" i="1" l="1"/>
  <c r="B29" i="1"/>
  <c r="C30" i="1" l="1"/>
  <c r="B30" i="1"/>
  <c r="C31" i="1" l="1"/>
  <c r="B31" i="1"/>
  <c r="B32" i="1" l="1"/>
  <c r="C32" i="1"/>
</calcChain>
</file>

<file path=xl/sharedStrings.xml><?xml version="1.0" encoding="utf-8"?>
<sst xmlns="http://schemas.openxmlformats.org/spreadsheetml/2006/main" count="26" uniqueCount="26">
  <si>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</si>
  <si>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</si>
  <si>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</si>
  <si>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</si>
  <si>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</si>
  <si>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</si>
  <si>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</si>
  <si>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</si>
  <si>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</si>
  <si>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</si>
  <si>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</si>
  <si>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</si>
  <si>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</si>
  <si>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</si>
  <si>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</si>
  <si>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</si>
  <si>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</si>
  <si>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日数</t>
    <rPh sb="0" eb="2">
      <t>ニッスウ</t>
    </rPh>
    <phoneticPr fontId="1"/>
  </si>
  <si>
    <t>風呂・シャワー室掃除当番表</t>
    <phoneticPr fontId="1"/>
  </si>
  <si>
    <t>←MAX33日間</t>
    <rPh sb="6" eb="8">
      <t>ニチカン</t>
    </rPh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</si>
  <si>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</si>
  <si>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</si>
  <si>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</si>
  <si>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</si>
  <si>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</si>
  <si>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各学年の割合</t>
    <rPh sb="0" eb="1">
      <t>カク</t>
    </rPh>
    <rPh sb="1" eb="3">
      <t>ガクネン</t>
    </rPh>
    <rPh sb="4" eb="6">
      <t>ワリアイ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</si>
</sst>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9" fontId="0" fillId="0" borderId="1" xfId="0" applyNumberFormat="1" applyBorder="1" applyAlignment="1">
      <alignment horizontal="left" vertical="center"/>
    </xf>
    <xf numFmtId="176" fontId="2" fillId="0" borderId="2" xfId="0" applyNumberFormat="1" applyFont="1" applyFill="1" applyBorder="1" applyAlignment="1" applyProtection="1">
      <alignment horizontal="center" vertical="center"/>
    </xf>
    <xf numFmtId="178" fontId="2" fillId="0" borderId="2" xfId="0" applyNumberFormat="1" applyFont="1" applyFill="1" applyBorder="1" applyAlignment="1" applyProtection="1">
      <alignment horizontal="center" vertical="center"/>
    </xf>
    <xf numFmtId="177" fontId="2" fillId="0" borderId="6" xfId="0" applyNumberFormat="1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</xf>
  </cellXfs>
  <cellStyles count="1">
    <cellStyle name="標準" xfId="0" builtinId="0"/>
  </cellStyles>
  <dxfs count="4">
    <dxf>
      <border>
        <left/>
        <right/>
        <bottom/>
        <vertical/>
        <horizontal/>
      </border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K7"/>
  <sheetViews>
    <sheetView tabSelected="1" workbookViewId="0"/>
  </sheetViews>
  <sheetFormatPr defaultRowHeight="18.75" x14ac:dyDescent="0.4"/>
  <cols>
    <col min="1" max="1" width="9.75" customWidth="1"/>
    <col min="2" max="2" width="34.5" customWidth="1"/>
    <col min="3" max="3" width="13.75" bestFit="1" customWidth="1"/>
    <col min="4" max="11" width="4.625" customWidth="1"/>
  </cols>
  <sheetData>
    <row r="1" spans="1:11" x14ac:dyDescent="0.4">
      <c r="A1" s="17" t="s">
        <v>15</v>
      </c>
      <c r="B1" s="2">
        <v>43556</v>
      </c>
      <c r="E1" s="19" t="s">
        <v>25</v>
      </c>
      <c r="F1" s="19"/>
      <c r="G1" s="19"/>
      <c r="H1" s="19"/>
      <c r="I1" s="19"/>
    </row>
    <row r="2" spans="1:11" x14ac:dyDescent="0.4">
      <c r="A2" s="17" t="s">
        <v>16</v>
      </c>
      <c r="B2" s="2">
        <v>43585</v>
      </c>
      <c r="E2" s="18">
        <v>1</v>
      </c>
      <c r="F2" s="18">
        <v>2</v>
      </c>
      <c r="G2" s="18">
        <v>3</v>
      </c>
      <c r="H2" s="18">
        <v>4</v>
      </c>
      <c r="I2" s="18">
        <v>5</v>
      </c>
    </row>
    <row r="3" spans="1:11" x14ac:dyDescent="0.4">
      <c r="A3" s="17" t="s">
        <v>17</v>
      </c>
      <c r="B3" s="4">
        <f>B2-B1+1</f>
        <v>30</v>
      </c>
      <c r="C3" t="s">
        <v>19</v>
      </c>
      <c r="E3" s="1">
        <v>1</v>
      </c>
      <c r="F3" s="1">
        <v>1</v>
      </c>
      <c r="G3" s="1">
        <v>0</v>
      </c>
      <c r="H3" s="1">
        <v>0</v>
      </c>
      <c r="I3" s="1">
        <v>0</v>
      </c>
    </row>
    <row r="4" spans="1:11" x14ac:dyDescent="0.4">
      <c r="A4" s="17" t="s">
        <v>13</v>
      </c>
      <c r="B4" s="3" t="s">
        <v>18</v>
      </c>
    </row>
    <row r="5" spans="1:11" x14ac:dyDescent="0.4">
      <c r="A5" s="17" t="s">
        <v>14</v>
      </c>
      <c r="B5" s="3" t="s">
        <v>21</v>
      </c>
      <c r="E5" s="19" t="s">
        <v>22</v>
      </c>
      <c r="F5" s="19"/>
      <c r="G5" s="19"/>
      <c r="H5" s="19"/>
      <c r="I5" s="19"/>
      <c r="J5" s="19"/>
      <c r="K5" s="19"/>
    </row>
    <row r="6" spans="1:11" x14ac:dyDescent="0.4">
      <c r="E6" s="18" t="s">
        <v>23</v>
      </c>
      <c r="F6" s="18" t="s">
        <v>24</v>
      </c>
      <c r="G6" s="18" t="s">
        <v>5</v>
      </c>
      <c r="H6" s="18" t="s">
        <v>6</v>
      </c>
      <c r="I6" s="18" t="s">
        <v>7</v>
      </c>
      <c r="J6" s="18" t="s">
        <v>8</v>
      </c>
      <c r="K6" s="18" t="s">
        <v>9</v>
      </c>
    </row>
    <row r="7" spans="1:11" x14ac:dyDescent="0.4">
      <c r="E7" s="1">
        <v>6</v>
      </c>
      <c r="F7" s="1">
        <v>4</v>
      </c>
      <c r="G7" s="1">
        <v>6</v>
      </c>
      <c r="H7" s="1">
        <v>4</v>
      </c>
      <c r="I7" s="1">
        <v>6</v>
      </c>
      <c r="J7" s="1">
        <v>4</v>
      </c>
      <c r="K7" s="1">
        <v>4</v>
      </c>
    </row>
  </sheetData>
  <mergeCells count="2">
    <mergeCell ref="E1:I1"/>
    <mergeCell ref="E5:K5"/>
  </mergeCells>
  <phoneticPr fontId="1"/>
  <conditionalFormatting sqref="B3">
    <cfRule type="cellIs" dxfId="3" priority="1" operator="greaterThan">
      <formula>33</formula>
    </cfRule>
  </conditionalFormatting>
  <pageMargins left="0.7" right="0.7" top="0.75" bottom="0.75" header="0.3" footer="0.3"/>
  <pageSetup paperSize="9" orientation="portrait" r:id="rId1"/>
  <headerFooter>
    <oddHeader>&amp;C&amp;16=</oddHeader>
    <oddFooter>&amp;R&amp;12風呂委員長 5115号室 神宮 樹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I38"/>
  <sheetViews>
    <sheetView view="pageLayout" zoomScaleNormal="100" workbookViewId="0"/>
  </sheetViews>
  <sheetFormatPr defaultRowHeight="19.5" x14ac:dyDescent="0.4"/>
  <cols>
    <col min="1" max="3" width="5.75" style="10" customWidth="1"/>
    <col min="4" max="9" width="10.5" style="10" customWidth="1"/>
    <col min="10" max="16384" width="9" style="10"/>
  </cols>
  <sheetData>
    <row r="1" spans="1:9" ht="20.25" thickBot="1" x14ac:dyDescent="0.45">
      <c r="A1" s="8" t="s">
        <v>0</v>
      </c>
      <c r="B1" s="8" t="s">
        <v>1</v>
      </c>
      <c r="C1" s="9" t="s">
        <v>2</v>
      </c>
      <c r="D1" s="21" t="s">
        <v>3</v>
      </c>
      <c r="E1" s="22"/>
      <c r="F1" s="22"/>
      <c r="G1" s="23"/>
      <c r="H1" s="21" t="s">
        <v>4</v>
      </c>
      <c r="I1" s="22"/>
    </row>
    <row r="2" spans="1:9" ht="20.25" thickTop="1" x14ac:dyDescent="0.4">
      <c r="A2" s="5">
        <f>Setting!B1</f>
        <v>43556</v>
      </c>
      <c r="B2" s="6">
        <f>A2</f>
        <v>43556</v>
      </c>
      <c r="C2" s="7">
        <f>A2</f>
        <v>43556</v>
      </c>
      <c r="D2" s="11"/>
      <c r="E2" s="12"/>
      <c r="F2" s="12"/>
      <c r="G2" s="13"/>
      <c r="H2" s="11"/>
      <c r="I2" s="12"/>
    </row>
    <row r="3" spans="1:9" x14ac:dyDescent="0.4">
      <c r="A3" s="5">
        <f>IF(ROW()-ROW(A$2)+1&lt;=[0]!Days,A2+1,"")</f>
        <v>43557</v>
      </c>
      <c r="B3" s="6">
        <f>A3</f>
        <v>43557</v>
      </c>
      <c r="C3" s="7">
        <f>A3</f>
        <v>43557</v>
      </c>
      <c r="D3" s="14"/>
      <c r="E3" s="15"/>
      <c r="F3" s="15"/>
      <c r="G3" s="16"/>
      <c r="H3" s="14"/>
      <c r="I3" s="15"/>
    </row>
    <row r="4" spans="1:9" x14ac:dyDescent="0.4">
      <c r="A4" s="5">
        <f>IF(ROW()-ROW(A$2)+1&lt;=[0]!Days,A3+1,"")</f>
        <v>43558</v>
      </c>
      <c r="B4" s="6">
        <f t="shared" ref="B4:B34" si="0">A4</f>
        <v>43558</v>
      </c>
      <c r="C4" s="7">
        <f t="shared" ref="C4:C32" si="1">A4</f>
        <v>43558</v>
      </c>
      <c r="D4" s="14"/>
      <c r="E4" s="15"/>
      <c r="F4" s="15"/>
      <c r="G4" s="16"/>
      <c r="H4" s="14"/>
      <c r="I4" s="15"/>
    </row>
    <row r="5" spans="1:9" x14ac:dyDescent="0.4">
      <c r="A5" s="5">
        <f>IF(ROW()-ROW(A$2)+1&lt;=[0]!Days,A4+1,"")</f>
        <v>43559</v>
      </c>
      <c r="B5" s="6">
        <f t="shared" si="0"/>
        <v>43559</v>
      </c>
      <c r="C5" s="7">
        <f t="shared" si="1"/>
        <v>43559</v>
      </c>
      <c r="D5" s="14"/>
      <c r="E5" s="15"/>
      <c r="F5" s="15"/>
      <c r="G5" s="16"/>
      <c r="H5" s="14"/>
      <c r="I5" s="15"/>
    </row>
    <row r="6" spans="1:9" x14ac:dyDescent="0.4">
      <c r="A6" s="5">
        <f>IF(ROW()-ROW(A$2)+1&lt;=[0]!Days,A5+1,"")</f>
        <v>43560</v>
      </c>
      <c r="B6" s="6">
        <f t="shared" si="0"/>
        <v>43560</v>
      </c>
      <c r="C6" s="7">
        <f t="shared" si="1"/>
        <v>43560</v>
      </c>
      <c r="D6" s="14"/>
      <c r="E6" s="15"/>
      <c r="F6" s="15"/>
      <c r="G6" s="16"/>
      <c r="H6" s="14"/>
      <c r="I6" s="15"/>
    </row>
    <row r="7" spans="1:9" x14ac:dyDescent="0.4">
      <c r="A7" s="5">
        <f>IF(ROW()-ROW(A$2)+1&lt;=[0]!Days,A6+1,"")</f>
        <v>43561</v>
      </c>
      <c r="B7" s="6">
        <f t="shared" si="0"/>
        <v>43561</v>
      </c>
      <c r="C7" s="7">
        <f t="shared" si="1"/>
        <v>43561</v>
      </c>
      <c r="D7" s="14"/>
      <c r="E7" s="15"/>
      <c r="F7" s="15"/>
      <c r="G7" s="16"/>
      <c r="H7" s="14"/>
      <c r="I7" s="15"/>
    </row>
    <row r="8" spans="1:9" x14ac:dyDescent="0.4">
      <c r="A8" s="5">
        <f>IF(ROW()-ROW(A$2)+1&lt;=[0]!Days,A7+1,"")</f>
        <v>43562</v>
      </c>
      <c r="B8" s="6">
        <f t="shared" si="0"/>
        <v>43562</v>
      </c>
      <c r="C8" s="7">
        <f t="shared" si="1"/>
        <v>43562</v>
      </c>
      <c r="D8" s="14"/>
      <c r="E8" s="15"/>
      <c r="F8" s="15"/>
      <c r="G8" s="16"/>
      <c r="H8" s="14"/>
      <c r="I8" s="15"/>
    </row>
    <row r="9" spans="1:9" x14ac:dyDescent="0.4">
      <c r="A9" s="5">
        <f>IF(ROW()-ROW(A$2)+1&lt;=[0]!Days,A8+1,"")</f>
        <v>43563</v>
      </c>
      <c r="B9" s="6">
        <f t="shared" si="0"/>
        <v>43563</v>
      </c>
      <c r="C9" s="7">
        <f t="shared" si="1"/>
        <v>43563</v>
      </c>
      <c r="D9" s="14"/>
      <c r="E9" s="15"/>
      <c r="F9" s="15"/>
      <c r="G9" s="16"/>
      <c r="H9" s="14"/>
      <c r="I9" s="15"/>
    </row>
    <row r="10" spans="1:9" x14ac:dyDescent="0.4">
      <c r="A10" s="5">
        <f>IF(ROW()-ROW(A$2)+1&lt;=[0]!Days,A9+1,"")</f>
        <v>43564</v>
      </c>
      <c r="B10" s="6">
        <f t="shared" si="0"/>
        <v>43564</v>
      </c>
      <c r="C10" s="7">
        <f t="shared" si="1"/>
        <v>43564</v>
      </c>
      <c r="D10" s="14"/>
      <c r="E10" s="15"/>
      <c r="F10" s="15"/>
      <c r="G10" s="16"/>
      <c r="H10" s="14"/>
      <c r="I10" s="15"/>
    </row>
    <row r="11" spans="1:9" x14ac:dyDescent="0.4">
      <c r="A11" s="5">
        <f>IF(ROW()-ROW(A$2)+1&lt;=[0]!Days,A10+1,"")</f>
        <v>43565</v>
      </c>
      <c r="B11" s="6">
        <f t="shared" si="0"/>
        <v>43565</v>
      </c>
      <c r="C11" s="7">
        <f t="shared" si="1"/>
        <v>43565</v>
      </c>
      <c r="D11" s="14"/>
      <c r="E11" s="15"/>
      <c r="F11" s="15"/>
      <c r="G11" s="16"/>
      <c r="H11" s="14"/>
      <c r="I11" s="15"/>
    </row>
    <row r="12" spans="1:9" x14ac:dyDescent="0.4">
      <c r="A12" s="5">
        <f>IF(ROW()-ROW(A$2)+1&lt;=[0]!Days,A11+1,"")</f>
        <v>43566</v>
      </c>
      <c r="B12" s="6">
        <f t="shared" si="0"/>
        <v>43566</v>
      </c>
      <c r="C12" s="7">
        <f t="shared" si="1"/>
        <v>43566</v>
      </c>
      <c r="D12" s="14"/>
      <c r="E12" s="15"/>
      <c r="F12" s="15"/>
      <c r="G12" s="16"/>
      <c r="H12" s="14"/>
      <c r="I12" s="15"/>
    </row>
    <row r="13" spans="1:9" x14ac:dyDescent="0.4">
      <c r="A13" s="5">
        <f>IF(ROW()-ROW(A$2)+1&lt;=[0]!Days,A12+1,"")</f>
        <v>43567</v>
      </c>
      <c r="B13" s="6">
        <f t="shared" si="0"/>
        <v>43567</v>
      </c>
      <c r="C13" s="7">
        <f t="shared" si="1"/>
        <v>43567</v>
      </c>
      <c r="D13" s="14"/>
      <c r="E13" s="15"/>
      <c r="F13" s="15"/>
      <c r="G13" s="16"/>
      <c r="H13" s="14"/>
      <c r="I13" s="15"/>
    </row>
    <row r="14" spans="1:9" x14ac:dyDescent="0.4">
      <c r="A14" s="5">
        <f>IF(ROW()-ROW(A$2)+1&lt;=[0]!Days,A13+1,"")</f>
        <v>43568</v>
      </c>
      <c r="B14" s="6">
        <f t="shared" si="0"/>
        <v>43568</v>
      </c>
      <c r="C14" s="7">
        <f t="shared" si="1"/>
        <v>43568</v>
      </c>
      <c r="D14" s="14"/>
      <c r="E14" s="15"/>
      <c r="F14" s="15"/>
      <c r="G14" s="16"/>
      <c r="H14" s="14"/>
      <c r="I14" s="15"/>
    </row>
    <row r="15" spans="1:9" x14ac:dyDescent="0.4">
      <c r="A15" s="5">
        <f>IF(ROW()-ROW(A$2)+1&lt;=[0]!Days,A14+1,"")</f>
        <v>43569</v>
      </c>
      <c r="B15" s="6">
        <f t="shared" si="0"/>
        <v>43569</v>
      </c>
      <c r="C15" s="7">
        <f t="shared" si="1"/>
        <v>43569</v>
      </c>
      <c r="D15" s="14"/>
      <c r="E15" s="15"/>
      <c r="F15" s="15"/>
      <c r="G15" s="16"/>
      <c r="H15" s="14"/>
      <c r="I15" s="15"/>
    </row>
    <row r="16" spans="1:9" x14ac:dyDescent="0.4">
      <c r="A16" s="5">
        <f>IF(ROW()-ROW(A$2)+1&lt;=[0]!Days,A15+1,"")</f>
        <v>43570</v>
      </c>
      <c r="B16" s="6">
        <f t="shared" si="0"/>
        <v>43570</v>
      </c>
      <c r="C16" s="7">
        <f t="shared" si="1"/>
        <v>43570</v>
      </c>
      <c r="D16" s="14"/>
      <c r="E16" s="15"/>
      <c r="F16" s="15"/>
      <c r="G16" s="16"/>
      <c r="H16" s="14"/>
      <c r="I16" s="15"/>
    </row>
    <row r="17" spans="1:9" x14ac:dyDescent="0.4">
      <c r="A17" s="5">
        <f>IF(ROW()-ROW(A$2)+1&lt;=[0]!Days,A16+1,"")</f>
        <v>43571</v>
      </c>
      <c r="B17" s="6">
        <f t="shared" si="0"/>
        <v>43571</v>
      </c>
      <c r="C17" s="7">
        <f t="shared" si="1"/>
        <v>43571</v>
      </c>
      <c r="D17" s="14"/>
      <c r="E17" s="15"/>
      <c r="F17" s="15"/>
      <c r="G17" s="16"/>
      <c r="H17" s="14"/>
      <c r="I17" s="15"/>
    </row>
    <row r="18" spans="1:9" x14ac:dyDescent="0.4">
      <c r="A18" s="5">
        <f>IF(ROW()-ROW(A$2)+1&lt;=[0]!Days,A17+1,"")</f>
        <v>43572</v>
      </c>
      <c r="B18" s="6">
        <f t="shared" si="0"/>
        <v>43572</v>
      </c>
      <c r="C18" s="7">
        <f t="shared" si="1"/>
        <v>43572</v>
      </c>
      <c r="D18" s="14"/>
      <c r="E18" s="15"/>
      <c r="F18" s="15"/>
      <c r="G18" s="16"/>
      <c r="H18" s="14"/>
      <c r="I18" s="15"/>
    </row>
    <row r="19" spans="1:9" x14ac:dyDescent="0.4">
      <c r="A19" s="5">
        <f>IF(ROW()-ROW(A$2)+1&lt;=[0]!Days,A18+1,"")</f>
        <v>43573</v>
      </c>
      <c r="B19" s="6">
        <f t="shared" si="0"/>
        <v>43573</v>
      </c>
      <c r="C19" s="7">
        <f t="shared" si="1"/>
        <v>43573</v>
      </c>
      <c r="D19" s="14"/>
      <c r="E19" s="15"/>
      <c r="F19" s="15"/>
      <c r="G19" s="16"/>
      <c r="H19" s="14"/>
      <c r="I19" s="15"/>
    </row>
    <row r="20" spans="1:9" x14ac:dyDescent="0.4">
      <c r="A20" s="5">
        <f>IF(ROW()-ROW(A$2)+1&lt;=[0]!Days,A19+1,"")</f>
        <v>43574</v>
      </c>
      <c r="B20" s="6">
        <f t="shared" si="0"/>
        <v>43574</v>
      </c>
      <c r="C20" s="7">
        <f t="shared" si="1"/>
        <v>43574</v>
      </c>
      <c r="D20" s="14"/>
      <c r="E20" s="15"/>
      <c r="F20" s="15"/>
      <c r="G20" s="16"/>
      <c r="H20" s="14"/>
      <c r="I20" s="15"/>
    </row>
    <row r="21" spans="1:9" x14ac:dyDescent="0.4">
      <c r="A21" s="5">
        <f>IF(ROW()-ROW(A$2)+1&lt;=[0]!Days,A20+1,"")</f>
        <v>43575</v>
      </c>
      <c r="B21" s="6">
        <f t="shared" si="0"/>
        <v>43575</v>
      </c>
      <c r="C21" s="7">
        <f t="shared" si="1"/>
        <v>43575</v>
      </c>
      <c r="D21" s="14"/>
      <c r="E21" s="15"/>
      <c r="F21" s="15"/>
      <c r="G21" s="16"/>
      <c r="H21" s="14"/>
      <c r="I21" s="15"/>
    </row>
    <row r="22" spans="1:9" x14ac:dyDescent="0.4">
      <c r="A22" s="5">
        <f>IF(ROW()-ROW(A$2)+1&lt;=[0]!Days,A21+1,"")</f>
        <v>43576</v>
      </c>
      <c r="B22" s="6">
        <f t="shared" si="0"/>
        <v>43576</v>
      </c>
      <c r="C22" s="7">
        <f t="shared" si="1"/>
        <v>43576</v>
      </c>
      <c r="D22" s="14"/>
      <c r="E22" s="15"/>
      <c r="F22" s="15"/>
      <c r="G22" s="16"/>
      <c r="H22" s="14"/>
      <c r="I22" s="15"/>
    </row>
    <row r="23" spans="1:9" x14ac:dyDescent="0.4">
      <c r="A23" s="5">
        <f>IF(ROW()-ROW(A$2)+1&lt;=[0]!Days,A22+1,"")</f>
        <v>43577</v>
      </c>
      <c r="B23" s="6">
        <f t="shared" si="0"/>
        <v>43577</v>
      </c>
      <c r="C23" s="7">
        <f t="shared" si="1"/>
        <v>43577</v>
      </c>
      <c r="D23" s="14"/>
      <c r="E23" s="15"/>
      <c r="F23" s="15"/>
      <c r="G23" s="16"/>
      <c r="H23" s="14"/>
      <c r="I23" s="15"/>
    </row>
    <row r="24" spans="1:9" x14ac:dyDescent="0.4">
      <c r="A24" s="5">
        <f>IF(ROW()-ROW(A$2)+1&lt;=[0]!Days,A23+1,"")</f>
        <v>43578</v>
      </c>
      <c r="B24" s="6">
        <f t="shared" si="0"/>
        <v>43578</v>
      </c>
      <c r="C24" s="7">
        <f t="shared" si="1"/>
        <v>43578</v>
      </c>
      <c r="D24" s="14"/>
      <c r="E24" s="15"/>
      <c r="F24" s="15"/>
      <c r="G24" s="16"/>
      <c r="H24" s="14"/>
      <c r="I24" s="15"/>
    </row>
    <row r="25" spans="1:9" x14ac:dyDescent="0.4">
      <c r="A25" s="5">
        <f>IF(ROW()-ROW(A$2)+1&lt;=[0]!Days,A24+1,"")</f>
        <v>43579</v>
      </c>
      <c r="B25" s="6">
        <f t="shared" si="0"/>
        <v>43579</v>
      </c>
      <c r="C25" s="7">
        <f t="shared" si="1"/>
        <v>43579</v>
      </c>
      <c r="D25" s="14"/>
      <c r="E25" s="15"/>
      <c r="F25" s="15"/>
      <c r="G25" s="16"/>
      <c r="H25" s="14"/>
      <c r="I25" s="15"/>
    </row>
    <row r="26" spans="1:9" x14ac:dyDescent="0.4">
      <c r="A26" s="5">
        <f>IF(ROW()-ROW(A$2)+1&lt;=[0]!Days,A25+1,"")</f>
        <v>43580</v>
      </c>
      <c r="B26" s="6">
        <f t="shared" si="0"/>
        <v>43580</v>
      </c>
      <c r="C26" s="7">
        <f t="shared" si="1"/>
        <v>43580</v>
      </c>
      <c r="D26" s="14"/>
      <c r="E26" s="15"/>
      <c r="F26" s="15"/>
      <c r="G26" s="16"/>
      <c r="H26" s="14"/>
      <c r="I26" s="15"/>
    </row>
    <row r="27" spans="1:9" x14ac:dyDescent="0.4">
      <c r="A27" s="5">
        <f>IF(ROW()-ROW(A$2)+1&lt;=[0]!Days,A26+1,"")</f>
        <v>43581</v>
      </c>
      <c r="B27" s="6">
        <f t="shared" si="0"/>
        <v>43581</v>
      </c>
      <c r="C27" s="7">
        <f t="shared" si="1"/>
        <v>43581</v>
      </c>
      <c r="D27" s="14"/>
      <c r="E27" s="15"/>
      <c r="F27" s="15"/>
      <c r="G27" s="16"/>
      <c r="H27" s="14"/>
      <c r="I27" s="15"/>
    </row>
    <row r="28" spans="1:9" x14ac:dyDescent="0.4">
      <c r="A28" s="5">
        <f>IF(ROW()-ROW(A$2)+1&lt;=[0]!Days,A27+1,"")</f>
        <v>43582</v>
      </c>
      <c r="B28" s="6">
        <f t="shared" si="0"/>
        <v>43582</v>
      </c>
      <c r="C28" s="7">
        <f t="shared" si="1"/>
        <v>43582</v>
      </c>
      <c r="D28" s="14"/>
      <c r="E28" s="15"/>
      <c r="F28" s="15"/>
      <c r="G28" s="16"/>
      <c r="H28" s="14"/>
      <c r="I28" s="15"/>
    </row>
    <row r="29" spans="1:9" x14ac:dyDescent="0.4">
      <c r="A29" s="5">
        <f>IF(ROW()-ROW(A$2)+1&lt;=[0]!Days,A28+1,"")</f>
        <v>43583</v>
      </c>
      <c r="B29" s="6">
        <f t="shared" si="0"/>
        <v>43583</v>
      </c>
      <c r="C29" s="7">
        <f t="shared" si="1"/>
        <v>43583</v>
      </c>
      <c r="D29" s="14"/>
      <c r="E29" s="15"/>
      <c r="F29" s="15"/>
      <c r="G29" s="16"/>
      <c r="H29" s="14"/>
      <c r="I29" s="15"/>
    </row>
    <row r="30" spans="1:9" x14ac:dyDescent="0.4">
      <c r="A30" s="5">
        <f>IF(ROW()-ROW(A$2)+1&lt;=[0]!Days,A29+1,"")</f>
        <v>43584</v>
      </c>
      <c r="B30" s="6">
        <f t="shared" si="0"/>
        <v>43584</v>
      </c>
      <c r="C30" s="7">
        <f t="shared" si="1"/>
        <v>43584</v>
      </c>
      <c r="D30" s="14"/>
      <c r="E30" s="15"/>
      <c r="F30" s="15"/>
      <c r="G30" s="16"/>
      <c r="H30" s="14"/>
      <c r="I30" s="15"/>
    </row>
    <row r="31" spans="1:9" x14ac:dyDescent="0.4">
      <c r="A31" s="5">
        <f>IF(ROW()-ROW(A$2)+1&lt;=[0]!Days,A30+1,"")</f>
        <v>43585</v>
      </c>
      <c r="B31" s="6">
        <f t="shared" si="0"/>
        <v>43585</v>
      </c>
      <c r="C31" s="7">
        <f t="shared" si="1"/>
        <v>43585</v>
      </c>
      <c r="D31" s="14"/>
      <c r="E31" s="15"/>
      <c r="F31" s="15"/>
      <c r="G31" s="16"/>
      <c r="H31" s="14"/>
      <c r="I31" s="15"/>
    </row>
    <row r="32" spans="1:9" x14ac:dyDescent="0.4">
      <c r="A32" s="5" t="str">
        <f>IF(ROW()-ROW(A$2)+1&lt;=[0]!Days,A31+1,"")</f>
        <v/>
      </c>
      <c r="B32" s="6" t="str">
        <f t="shared" si="0"/>
        <v/>
      </c>
      <c r="C32" s="7" t="str">
        <f t="shared" si="1"/>
        <v/>
      </c>
      <c r="D32" s="14"/>
      <c r="E32" s="15"/>
      <c r="F32" s="15"/>
      <c r="G32" s="16"/>
      <c r="H32" s="14"/>
      <c r="I32" s="15"/>
    </row>
    <row r="33" spans="1:9" x14ac:dyDescent="0.4">
      <c r="A33" s="5" t="str">
        <f>IF(ROW()-ROW(A$2)+1&lt;=[0]!Days,A32+1,"")</f>
        <v/>
      </c>
      <c r="B33" s="6" t="str">
        <f t="shared" si="0"/>
        <v/>
      </c>
      <c r="C33" s="7" t="str">
        <f t="shared" ref="C33:C34" si="2">A33</f>
        <v/>
      </c>
      <c r="D33" s="14"/>
      <c r="E33" s="15"/>
      <c r="F33" s="15"/>
      <c r="G33" s="16"/>
      <c r="H33" s="14"/>
      <c r="I33" s="15"/>
    </row>
    <row r="34" spans="1:9" x14ac:dyDescent="0.4">
      <c r="A34" s="5" t="str">
        <f>IF(ROW()-ROW(A$2)+1&lt;=[0]!Days,A33+1,"")</f>
        <v/>
      </c>
      <c r="B34" s="6" t="str">
        <f t="shared" si="0"/>
        <v/>
      </c>
      <c r="C34" s="7" t="str">
        <f t="shared" si="2"/>
        <v/>
      </c>
      <c r="D34" s="14"/>
      <c r="E34" s="15"/>
      <c r="F34" s="15"/>
      <c r="G34" s="16"/>
      <c r="H34" s="14"/>
      <c r="I34" s="15"/>
    </row>
    <row r="35" spans="1:9" x14ac:dyDescent="0.4">
      <c r="A35" s="20" t="s">
        <v>11</v>
      </c>
      <c r="B35" s="20"/>
      <c r="C35" s="20"/>
      <c r="D35" s="20"/>
      <c r="E35" s="20"/>
      <c r="F35" s="20"/>
      <c r="G35" s="20"/>
      <c r="H35" s="20"/>
      <c r="I35" s="20"/>
    </row>
    <row r="36" spans="1:9" x14ac:dyDescent="0.4">
      <c r="A36" s="20" t="s">
        <v>10</v>
      </c>
      <c r="B36" s="20"/>
      <c r="C36" s="20"/>
      <c r="D36" s="20"/>
      <c r="E36" s="20"/>
      <c r="F36" s="20"/>
      <c r="G36" s="20"/>
      <c r="H36" s="20"/>
      <c r="I36" s="20"/>
    </row>
    <row r="37" spans="1:9" x14ac:dyDescent="0.4">
      <c r="A37" s="20" t="s">
        <v>12</v>
      </c>
      <c r="B37" s="20"/>
      <c r="C37" s="20"/>
      <c r="D37" s="20"/>
      <c r="E37" s="20"/>
      <c r="F37" s="20"/>
      <c r="G37" s="20"/>
      <c r="H37" s="20"/>
      <c r="I37" s="20"/>
    </row>
    <row r="38" spans="1:9" x14ac:dyDescent="0.4">
      <c r="A38" s="20" t="s">
        <v>20</v>
      </c>
      <c r="B38" s="20"/>
      <c r="C38" s="20"/>
      <c r="D38" s="20"/>
      <c r="E38" s="20"/>
      <c r="F38" s="20"/>
      <c r="G38" s="20"/>
      <c r="H38" s="20"/>
      <c r="I38" s="20"/>
    </row>
  </sheetData>
  <sheetProtection formatCells="0" formatColumns="0" formatRows="0"/>
  <mergeCells count="6">
    <mergeCell ref="A36:I36"/>
    <mergeCell ref="A35:I35"/>
    <mergeCell ref="A38:I38"/>
    <mergeCell ref="A37:I37"/>
    <mergeCell ref="D1:G1"/>
    <mergeCell ref="H1:I1"/>
  </mergeCells>
  <phoneticPr fontId="1"/>
  <conditionalFormatting sqref="B2:I34">
    <cfRule type="expression" dxfId="2" priority="2">
      <formula>AND($A2&lt;&gt;"",TEXT($A2,"aaa")="日")</formula>
    </cfRule>
    <cfRule type="expression" dxfId="1" priority="3">
      <formula>AND($A2&lt;&gt;"",TEXT($A2,"aaa")="土")</formula>
    </cfRule>
  </conditionalFormatting>
  <conditionalFormatting sqref="A2:I34">
    <cfRule type="expression" dxfId="0" priority="1">
      <formula>$A2=""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&amp;C&amp;16&amp;""4月 風呂・シャワー室掃除当番表</oddHeader>
    <oddFooter>&amp;R&amp;12副風呂委員長 51??号室 井出 健人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Setting</vt:lpstr>
      <vt:lpstr>Template</vt:lpstr>
      <vt:lpstr>List</vt:lpstr>
      <vt:lpstr>Days</vt:lpstr>
      <vt:lpstr>End</vt:lpstr>
      <vt:lpstr>Footer</vt:lpstr>
      <vt:lpstr>Header</vt:lpstr>
      <vt:lpstr>Template!Print_Area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2019-03-19T02:33:17Z</cp:lastPrinted>
  <dcterms:created xsi:type="dcterms:W3CDTF">2019-03-19T00:56:09Z</dcterms:created>
  <dcterms:modified xsi:type="dcterms:W3CDTF">2019-03-19T03:17:06Z</dcterms:modified>
</cp:coreProperties>
</file>