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roster\"/>
    </mc:Choice>
  </mc:AlternateContent>
  <xr:revisionPtr revIDLastSave="0" documentId="13_ncr:1_{23E97A7C-6626-42C3-9731-BA22437457A3}" xr6:coauthVersionLast="36" xr6:coauthVersionMax="36" xr10:uidLastSave="{00000000-0000-0000-0000-000000000000}"/>
  <bookViews>
    <workbookView xWindow="0" yWindow="0" windowWidth="20490" windowHeight="10755" xr2:uid="{3484DB52-3CF4-4EBE-BE25-D03D9925EBE6}"/>
  </bookViews>
  <sheets>
    <sheet name="Setting" sheetId="2" r:id="rId1"/>
    <sheet name="Template" sheetId="1" r:id="rId2"/>
    <sheet name="List" sheetId="3" r:id="rId3"/>
    <sheet name="Holiday" sheetId="6" r:id="rId4"/>
  </sheets>
  <definedNames>
    <definedName name="_xlnm._FilterDatabase" localSheetId="1" hidden="1">Template!$A$1:$I$32</definedName>
    <definedName name="Day">Setting!$D$7:$J$7</definedName>
    <definedName name="Days">Setting!$B$3</definedName>
    <definedName name="End">Setting!$B$2</definedName>
    <definedName name="Footer">Setting!$B$5</definedName>
    <definedName name="Grade">Setting!$D$3:$H$3</definedName>
    <definedName name="Header">Setting!$B$4</definedName>
    <definedName name="_xlnm.Print_Area" localSheetId="1">Template!$A$1:$J$38</definedName>
    <definedName name="Start">Setting!$B$1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2" l="1"/>
  <c r="A2" i="1"/>
  <c r="A3" i="1" l="1"/>
  <c r="B3" i="1" s="1"/>
  <c r="B2" i="1"/>
  <c r="C2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C3" i="1"/>
  <c r="B33" i="1" l="1"/>
  <c r="C4" i="1"/>
  <c r="C5" i="1"/>
  <c r="B4" i="1"/>
  <c r="C33" i="1"/>
  <c r="B34" i="1"/>
  <c r="C34" i="1"/>
  <c r="B5" i="1"/>
  <c r="B6" i="1" l="1"/>
  <c r="C6" i="1"/>
  <c r="C7" i="1"/>
  <c r="B7" i="1"/>
  <c r="B8" i="1" l="1"/>
  <c r="C8" i="1"/>
  <c r="C9" i="1" l="1"/>
  <c r="B9" i="1"/>
  <c r="C10" i="1" l="1"/>
  <c r="B10" i="1"/>
  <c r="B11" i="1" l="1"/>
  <c r="C11" i="1"/>
  <c r="B12" i="1" l="1"/>
  <c r="C12" i="1"/>
  <c r="C13" i="1" l="1"/>
  <c r="B13" i="1"/>
  <c r="C14" i="1" l="1"/>
  <c r="B14" i="1"/>
  <c r="C15" i="1" l="1"/>
  <c r="B15" i="1"/>
  <c r="B16" i="1" l="1"/>
  <c r="C16" i="1"/>
  <c r="C17" i="1" l="1"/>
  <c r="B17" i="1"/>
  <c r="C18" i="1" l="1"/>
  <c r="B18" i="1"/>
  <c r="C19" i="1" l="1"/>
  <c r="B19" i="1"/>
  <c r="B20" i="1" l="1"/>
  <c r="C20" i="1"/>
  <c r="C21" i="1" l="1"/>
  <c r="B21" i="1"/>
  <c r="C22" i="1" l="1"/>
  <c r="B22" i="1"/>
  <c r="C23" i="1" l="1"/>
  <c r="B23" i="1"/>
  <c r="B24" i="1" l="1"/>
  <c r="C24" i="1"/>
  <c r="C25" i="1" l="1"/>
  <c r="B25" i="1"/>
  <c r="C26" i="1" l="1"/>
  <c r="B26" i="1"/>
  <c r="B27" i="1" l="1"/>
  <c r="C27" i="1"/>
  <c r="C28" i="1" l="1"/>
  <c r="B28" i="1"/>
  <c r="C29" i="1" l="1"/>
  <c r="B29" i="1"/>
  <c r="C30" i="1" l="1"/>
  <c r="B30" i="1"/>
  <c r="C31" i="1" l="1"/>
  <c r="B31" i="1"/>
  <c r="B32" i="1" l="1"/>
  <c r="C32" i="1"/>
</calcChain>
</file>

<file path=xl/sharedStrings.xml><?xml version="1.0" encoding="utf-8"?>
<sst xmlns="http://schemas.openxmlformats.org/spreadsheetml/2006/main" count="110" uniqueCount="60">
  <si>
    <t>月</t>
    <rPh sb="0" eb="1">
      <t>ツキ</t>
    </rPh>
    <phoneticPr fontId="1"/>
  </si>
  <si>
    <t>日</t>
    <rPh sb="0" eb="1">
      <t>ニチ</t>
    </rPh>
    <phoneticPr fontId="1"/>
  </si>
  <si>
    <t>曜</t>
    <rPh sb="0" eb="1">
      <t>ヨウ</t>
    </rPh>
    <phoneticPr fontId="1"/>
  </si>
  <si>
    <t>風呂掃除当番</t>
    <rPh sb="0" eb="2">
      <t>フロ</t>
    </rPh>
    <rPh sb="2" eb="4">
      <t>ソウジ</t>
    </rPh>
    <rPh sb="4" eb="6">
      <t>トウバン</t>
    </rPh>
    <phoneticPr fontId="1"/>
  </si>
  <si>
    <t>シャワー室掃除当番</t>
    <rPh sb="4" eb="5">
      <t>シツ</t>
    </rPh>
    <rPh sb="5" eb="7">
      <t>ソウジ</t>
    </rPh>
    <rPh sb="7" eb="9">
      <t>トウバン</t>
    </rPh>
    <phoneticPr fontId="1"/>
  </si>
  <si>
    <t>水</t>
  </si>
  <si>
    <t>木</t>
  </si>
  <si>
    <t>金</t>
  </si>
  <si>
    <t>土</t>
  </si>
  <si>
    <t>日</t>
  </si>
  <si>
    <t>・月曜日・水曜日・金曜日は浴槽掃除があります。</t>
    <phoneticPr fontId="1"/>
  </si>
  <si>
    <t>・掃除当番の時間は22:45からです。</t>
    <rPh sb="1" eb="3">
      <t>ソウジ</t>
    </rPh>
    <rPh sb="3" eb="5">
      <t>トウバン</t>
    </rPh>
    <rPh sb="6" eb="8">
      <t>ジカン</t>
    </rPh>
    <phoneticPr fontId="1"/>
  </si>
  <si>
    <t>・当番に出られない場合は、必ず誰かに代わってもらってください。</t>
    <rPh sb="1" eb="3">
      <t>トウバン</t>
    </rPh>
    <rPh sb="4" eb="5">
      <t>デ</t>
    </rPh>
    <rPh sb="9" eb="11">
      <t>バアイ</t>
    </rPh>
    <rPh sb="15" eb="16">
      <t>ダレ</t>
    </rPh>
    <rPh sb="18" eb="19">
      <t>カ</t>
    </rPh>
    <phoneticPr fontId="1"/>
  </si>
  <si>
    <t>ヘッダー</t>
    <phoneticPr fontId="1"/>
  </si>
  <si>
    <t>フッター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</si>
  <si>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</si>
  <si>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</si>
  <si>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風呂・シャワー室掃除当番表</t>
    <phoneticPr fontId="1"/>
  </si>
  <si>
    <t>・何か分からないことや間違い等があれば、ご連絡をおねがいします。</t>
    <rPh sb="1" eb="2">
      <t>ナニ</t>
    </rPh>
    <rPh sb="3" eb="4">
      <t>ワ</t>
    </rPh>
    <rPh sb="11" eb="13">
      <t>マチガ</t>
    </rPh>
    <rPh sb="14" eb="15">
      <t>トウ</t>
    </rPh>
    <rPh sb="21" eb="23">
      <t>レンラク</t>
    </rPh>
    <phoneticPr fontId="1"/>
  </si>
  <si>
    <t>副風呂委員長 51??号室 井出 健人</t>
    <rPh sb="0" eb="1">
      <t>フク</t>
    </rPh>
    <rPh sb="14" eb="16">
      <t>イデ</t>
    </rPh>
    <rPh sb="17" eb="19">
      <t>タケヒト</t>
    </rPh>
    <phoneticPr fontId="1"/>
  </si>
  <si>
    <t>各曜日の人数</t>
    <phoneticPr fontId="1"/>
  </si>
  <si>
    <t>月</t>
    <rPh sb="0" eb="1">
      <t>ゲツ</t>
    </rPh>
    <phoneticPr fontId="1"/>
  </si>
  <si>
    <t>火</t>
    <rPh sb="0" eb="1">
      <t>カ</t>
    </rPh>
    <phoneticPr fontId="1"/>
  </si>
  <si>
    <t>各学年の割合</t>
    <rPh sb="0" eb="1">
      <t>カク</t>
    </rPh>
    <rPh sb="1" eb="3">
      <t>ガクネン</t>
    </rPh>
    <rPh sb="4" eb="6">
      <t>ワリアイ</t>
    </rPh>
    <phoneticPr fontId="1"/>
  </si>
  <si>
    <t>日数 (MAX33日)</t>
    <rPh sb="0" eb="2">
      <t>ニッスウ</t>
    </rPh>
    <rPh sb="9" eb="10">
      <t>ニチ</t>
    </rPh>
    <phoneticPr fontId="1"/>
  </si>
  <si>
    <t>部屋番号</t>
    <rPh sb="0" eb="4">
      <t>ヘヤバンゴウ</t>
    </rPh>
    <phoneticPr fontId="1"/>
  </si>
  <si>
    <t>学年</t>
    <rPh sb="0" eb="2">
      <t>ガクネン</t>
    </rPh>
    <phoneticPr fontId="1"/>
  </si>
  <si>
    <t>人数</t>
    <rPh sb="0" eb="2">
      <t>ニンズウ</t>
    </rPh>
    <phoneticPr fontId="1"/>
  </si>
  <si>
    <t>1111(2)</t>
    <phoneticPr fontId="1"/>
  </si>
  <si>
    <t>祝日・行事等</t>
    <rPh sb="0" eb="2">
      <t>シュクジツ</t>
    </rPh>
    <rPh sb="3" eb="6">
      <t>ギョウジトウ</t>
    </rPh>
    <phoneticPr fontId="1"/>
  </si>
  <si>
    <t>勤労感謝の日</t>
  </si>
  <si>
    <t>文化の日</t>
  </si>
  <si>
    <t>スポーツの日</t>
    <rPh sb="5" eb="6">
      <t>ヒ</t>
    </rPh>
    <phoneticPr fontId="4"/>
  </si>
  <si>
    <t>秋分の日</t>
  </si>
  <si>
    <t>敬老の日</t>
  </si>
  <si>
    <t>山の日</t>
  </si>
  <si>
    <t>海の日</t>
  </si>
  <si>
    <t>こどもの日</t>
  </si>
  <si>
    <t>みどりの日</t>
  </si>
  <si>
    <t>憲法記念日</t>
  </si>
  <si>
    <t>昭和の日</t>
  </si>
  <si>
    <t>春分の日</t>
  </si>
  <si>
    <t>天皇誕生日</t>
    <rPh sb="0" eb="2">
      <t>テンノウ</t>
    </rPh>
    <rPh sb="2" eb="5">
      <t>タンジョウビ</t>
    </rPh>
    <phoneticPr fontId="5"/>
  </si>
  <si>
    <t>建国記念の日</t>
  </si>
  <si>
    <t>成人の日</t>
  </si>
  <si>
    <t>元日</t>
  </si>
  <si>
    <t>山の日</t>
    <rPh sb="0" eb="1">
      <t>ヤマ</t>
    </rPh>
    <rPh sb="2" eb="3">
      <t>ヒ</t>
    </rPh>
    <phoneticPr fontId="4"/>
  </si>
  <si>
    <t>振替休日</t>
  </si>
  <si>
    <t>即位礼正殿の儀</t>
  </si>
  <si>
    <t>体育の日</t>
  </si>
  <si>
    <t>国民の休日</t>
  </si>
  <si>
    <t>天皇の即位の日</t>
  </si>
  <si>
    <t>国民の休日</t>
    <rPh sb="0" eb="2">
      <t>コクミン</t>
    </rPh>
    <phoneticPr fontId="6"/>
  </si>
  <si>
    <t>日付</t>
    <rPh sb="0" eb="2">
      <t>ヒヅケ</t>
    </rPh>
    <phoneticPr fontId="4"/>
  </si>
  <si>
    <t>祝日</t>
    <rPh sb="0" eb="2">
      <t>シュクジツ</t>
    </rPh>
    <phoneticPr fontId="4"/>
  </si>
  <si>
    <t>行事</t>
    <rPh sb="0" eb="2">
      <t>ギョウジ</t>
    </rPh>
    <phoneticPr fontId="4"/>
  </si>
  <si>
    <t>開寮</t>
    <rPh sb="0" eb="1">
      <t>ア</t>
    </rPh>
    <rPh sb="1" eb="2">
      <t>リョウ</t>
    </rPh>
    <phoneticPr fontId="1"/>
  </si>
  <si>
    <t>新入生入寮</t>
    <rPh sb="0" eb="3">
      <t>シンニュウセイ</t>
    </rPh>
    <rPh sb="3" eb="5">
      <t>ニュウリョウ</t>
    </rPh>
    <phoneticPr fontId="1"/>
  </si>
  <si>
    <t>入学式・始業式</t>
    <rPh sb="0" eb="3">
      <t>ニュウガクシキ</t>
    </rPh>
    <rPh sb="4" eb="7">
      <t>シギョウシキ</t>
    </rPh>
    <phoneticPr fontId="1"/>
  </si>
  <si>
    <t>特別編成授業</t>
    <rPh sb="0" eb="4">
      <t>トクベツヘンセイ</t>
    </rPh>
    <rPh sb="4" eb="6">
      <t>ジュギョウ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</si>
</sst>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aaa"/>
    <numFmt numFmtId="178" formatCode="d"/>
    <numFmt numFmtId="179" formatCode="0\ &quot;日&quot;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theme="3"/>
      <name val="Arial"/>
      <family val="2"/>
    </font>
    <font>
      <sz val="6"/>
      <name val="Meiryo UI"/>
      <family val="2"/>
      <charset val="128"/>
    </font>
    <font>
      <sz val="12"/>
      <color theme="0"/>
      <name val="メイリオ"/>
      <family val="3"/>
      <charset val="128"/>
    </font>
    <font>
      <sz val="11"/>
      <color rgb="FF9C650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9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 vertical="center" shrinkToFit="1"/>
    </xf>
    <xf numFmtId="0" fontId="2" fillId="0" borderId="5" xfId="0" applyFont="1" applyFill="1" applyBorder="1" applyAlignment="1" applyProtection="1">
      <alignment horizontal="center" vertical="center" shrinkToFit="1"/>
    </xf>
    <xf numFmtId="0" fontId="2" fillId="0" borderId="0" xfId="0" applyFont="1" applyFill="1" applyBorder="1" applyAlignment="1" applyProtection="1">
      <alignment vertical="center" shrinkToFit="1"/>
    </xf>
    <xf numFmtId="176" fontId="2" fillId="0" borderId="2" xfId="0" applyNumberFormat="1" applyFont="1" applyFill="1" applyBorder="1" applyAlignment="1" applyProtection="1">
      <alignment horizontal="center" vertical="center" shrinkToFit="1"/>
    </xf>
    <xf numFmtId="178" fontId="2" fillId="0" borderId="2" xfId="0" applyNumberFormat="1" applyFont="1" applyFill="1" applyBorder="1" applyAlignment="1" applyProtection="1">
      <alignment horizontal="center" vertical="center" shrinkToFit="1"/>
    </xf>
    <xf numFmtId="177" fontId="2" fillId="0" borderId="6" xfId="0" applyNumberFormat="1" applyFont="1" applyFill="1" applyBorder="1" applyAlignment="1" applyProtection="1">
      <alignment horizontal="center" vertical="center" shrinkToFit="1"/>
    </xf>
    <xf numFmtId="0" fontId="2" fillId="0" borderId="8" xfId="0" applyFont="1" applyFill="1" applyBorder="1" applyAlignment="1" applyProtection="1">
      <alignment horizontal="center" vertical="center" shrinkToFit="1"/>
    </xf>
    <xf numFmtId="0" fontId="2" fillId="0" borderId="2" xfId="0" applyFont="1" applyFill="1" applyBorder="1" applyAlignment="1" applyProtection="1">
      <alignment horizontal="center" vertical="center" shrinkToFit="1"/>
    </xf>
    <xf numFmtId="0" fontId="2" fillId="0" borderId="4" xfId="0" applyFont="1" applyFill="1" applyBorder="1" applyAlignment="1" applyProtection="1">
      <alignment horizontal="center" vertical="center" shrinkToFit="1"/>
    </xf>
    <xf numFmtId="0" fontId="2" fillId="0" borderId="1" xfId="0" applyFont="1" applyFill="1" applyBorder="1" applyAlignment="1" applyProtection="1">
      <alignment horizontal="center" vertical="center" shrinkToFit="1"/>
    </xf>
    <xf numFmtId="176" fontId="2" fillId="0" borderId="1" xfId="0" applyNumberFormat="1" applyFont="1" applyFill="1" applyBorder="1" applyAlignment="1" applyProtection="1">
      <alignment horizontal="center" vertical="center" shrinkToFit="1"/>
    </xf>
    <xf numFmtId="178" fontId="2" fillId="0" borderId="1" xfId="0" applyNumberFormat="1" applyFont="1" applyFill="1" applyBorder="1" applyAlignment="1" applyProtection="1">
      <alignment horizontal="center" vertical="center" shrinkToFit="1"/>
    </xf>
    <xf numFmtId="177" fontId="2" fillId="0" borderId="11" xfId="0" applyNumberFormat="1" applyFont="1" applyFill="1" applyBorder="1" applyAlignment="1" applyProtection="1">
      <alignment horizontal="center" vertical="center" shrinkToFit="1"/>
    </xf>
    <xf numFmtId="0" fontId="2" fillId="0" borderId="4" xfId="0" applyFont="1" applyFill="1" applyBorder="1" applyAlignment="1" applyProtection="1">
      <alignment vertical="center" shrinkToFit="1"/>
    </xf>
    <xf numFmtId="0" fontId="2" fillId="0" borderId="8" xfId="0" applyFont="1" applyFill="1" applyBorder="1" applyAlignment="1" applyProtection="1">
      <alignment vertical="center" shrinkToFit="1"/>
    </xf>
    <xf numFmtId="0" fontId="2" fillId="0" borderId="7" xfId="0" applyFont="1" applyFill="1" applyBorder="1" applyAlignment="1" applyProtection="1">
      <alignment horizontal="center" vertical="center" shrinkToFit="1"/>
    </xf>
    <xf numFmtId="0" fontId="0" fillId="0" borderId="9" xfId="0" applyBorder="1" applyAlignment="1">
      <alignment vertical="center"/>
    </xf>
    <xf numFmtId="0" fontId="2" fillId="0" borderId="7" xfId="0" applyFont="1" applyFill="1" applyBorder="1" applyAlignment="1" applyProtection="1">
      <alignment horizontal="center" vertical="center" shrinkToFit="1"/>
    </xf>
    <xf numFmtId="0" fontId="2" fillId="0" borderId="3" xfId="0" applyFont="1" applyFill="1" applyBorder="1" applyAlignment="1" applyProtection="1">
      <alignment horizontal="center" vertical="center" shrinkToFit="1"/>
    </xf>
    <xf numFmtId="0" fontId="2" fillId="0" borderId="10" xfId="0" applyFont="1" applyFill="1" applyBorder="1" applyAlignment="1" applyProtection="1">
      <alignment vertical="center" shrinkToFit="1"/>
    </xf>
    <xf numFmtId="0" fontId="2" fillId="0" borderId="0" xfId="0" applyFont="1" applyFill="1" applyBorder="1" applyAlignment="1" applyProtection="1">
      <alignment vertical="center" shrinkToFit="1"/>
    </xf>
    <xf numFmtId="14" fontId="0" fillId="2" borderId="1" xfId="0" applyNumberFormat="1" applyFill="1" applyBorder="1" applyAlignment="1">
      <alignment horizontal="center" vertical="center"/>
    </xf>
  </cellXfs>
  <cellStyles count="2">
    <cellStyle name="標準" xfId="0" builtinId="0"/>
    <cellStyle name="標準 2" xfId="1" xr:uid="{165248D0-9E91-449C-9BEF-BC9CD5CFDAEC}"/>
  </cellStyles>
  <dxfs count="7">
    <dxf>
      <border>
        <left/>
        <right/>
        <bottom/>
        <vertical/>
        <horizontal/>
      </border>
    </dxf>
    <dxf>
      <font>
        <color auto="1"/>
      </font>
      <fill>
        <patternFill patternType="solid">
          <fgColor auto="1"/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auto="1"/>
          <bgColor theme="8" tint="0.79998168889431442"/>
        </patternFill>
      </fill>
    </dxf>
    <dxf>
      <fill>
        <patternFill>
          <bgColor theme="5" tint="0.79998168889431442"/>
        </patternFill>
      </fill>
    </dxf>
    <dxf>
      <border>
        <left/>
        <right/>
        <bottom/>
        <vertical/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3CA2-B7F4-414C-A415-883B758BB911}">
  <sheetPr codeName="Sheet1"/>
  <dimension ref="A1:J7"/>
  <sheetViews>
    <sheetView tabSelected="1" workbookViewId="0"/>
  </sheetViews>
  <sheetFormatPr defaultRowHeight="18.75" x14ac:dyDescent="0.4"/>
  <cols>
    <col min="1" max="1" width="16" bestFit="1" customWidth="1"/>
    <col min="2" max="2" width="34.5" customWidth="1"/>
    <col min="3" max="10" width="4.625" customWidth="1"/>
  </cols>
  <sheetData>
    <row r="1" spans="1:10" x14ac:dyDescent="0.4">
      <c r="A1" s="5" t="s">
        <v>15</v>
      </c>
      <c r="B1" s="2">
        <v>43556</v>
      </c>
      <c r="D1" s="23" t="s">
        <v>23</v>
      </c>
      <c r="E1" s="23"/>
      <c r="F1" s="23"/>
      <c r="G1" s="23"/>
      <c r="H1" s="23"/>
    </row>
    <row r="2" spans="1:10" x14ac:dyDescent="0.4">
      <c r="A2" s="5" t="s">
        <v>16</v>
      </c>
      <c r="B2" s="2">
        <v>43585</v>
      </c>
      <c r="D2" s="6">
        <v>1</v>
      </c>
      <c r="E2" s="6">
        <v>2</v>
      </c>
      <c r="F2" s="6">
        <v>3</v>
      </c>
      <c r="G2" s="6">
        <v>4</v>
      </c>
      <c r="H2" s="6">
        <v>5</v>
      </c>
    </row>
    <row r="3" spans="1:10" x14ac:dyDescent="0.4">
      <c r="A3" s="5" t="s">
        <v>24</v>
      </c>
      <c r="B3" s="4">
        <f>B2-B1+1</f>
        <v>30</v>
      </c>
      <c r="D3" s="1">
        <v>1</v>
      </c>
      <c r="E3" s="1">
        <v>1</v>
      </c>
      <c r="F3" s="1">
        <v>0</v>
      </c>
      <c r="G3" s="1">
        <v>0</v>
      </c>
      <c r="H3" s="1">
        <v>0</v>
      </c>
    </row>
    <row r="4" spans="1:10" x14ac:dyDescent="0.4">
      <c r="A4" s="5" t="s">
        <v>13</v>
      </c>
      <c r="B4" s="3" t="s">
        <v>17</v>
      </c>
    </row>
    <row r="5" spans="1:10" x14ac:dyDescent="0.4">
      <c r="A5" s="5" t="s">
        <v>14</v>
      </c>
      <c r="B5" s="3" t="s">
        <v>19</v>
      </c>
      <c r="D5" s="23" t="s">
        <v>20</v>
      </c>
      <c r="E5" s="23"/>
      <c r="F5" s="23"/>
      <c r="G5" s="23"/>
      <c r="H5" s="23"/>
      <c r="I5" s="23"/>
      <c r="J5" s="23"/>
    </row>
    <row r="6" spans="1:10" x14ac:dyDescent="0.4">
      <c r="D6" s="6" t="s">
        <v>21</v>
      </c>
      <c r="E6" s="6" t="s">
        <v>22</v>
      </c>
      <c r="F6" s="6" t="s">
        <v>5</v>
      </c>
      <c r="G6" s="6" t="s">
        <v>6</v>
      </c>
      <c r="H6" s="6" t="s">
        <v>7</v>
      </c>
      <c r="I6" s="6" t="s">
        <v>8</v>
      </c>
      <c r="J6" s="6" t="s">
        <v>9</v>
      </c>
    </row>
    <row r="7" spans="1:10" x14ac:dyDescent="0.4">
      <c r="D7" s="1">
        <v>6</v>
      </c>
      <c r="E7" s="1">
        <v>4</v>
      </c>
      <c r="F7" s="1">
        <v>6</v>
      </c>
      <c r="G7" s="1">
        <v>4</v>
      </c>
      <c r="H7" s="1">
        <v>6</v>
      </c>
      <c r="I7" s="1">
        <v>4</v>
      </c>
      <c r="J7" s="1">
        <v>4</v>
      </c>
    </row>
  </sheetData>
  <mergeCells count="2">
    <mergeCell ref="D1:H1"/>
    <mergeCell ref="D5:J5"/>
  </mergeCells>
  <phoneticPr fontId="1"/>
  <conditionalFormatting sqref="B3">
    <cfRule type="cellIs" dxfId="6" priority="1" operator="greaterThan">
      <formula>33</formula>
    </cfRule>
  </conditionalFormatting>
  <pageMargins left="0.7" right="0.7" top="0.75" bottom="0.75" header="0.3" footer="0.3"/>
  <pageSetup paperSize="9" orientation="portrait" r:id="rId1"/>
  <headerFooter>
    <oddHeader>&amp;C&amp;16=</oddHeader>
    <oddFooter>&amp;R&amp;12風呂委員長 5115号室 神宮 樹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8481-E9AF-4AA2-9D3F-4AAC58BE7117}">
  <sheetPr codeName="Sheet2"/>
  <dimension ref="A1:J38"/>
  <sheetViews>
    <sheetView view="pageLayout" zoomScaleNormal="100" workbookViewId="0"/>
  </sheetViews>
  <sheetFormatPr defaultRowHeight="19.5" x14ac:dyDescent="0.4"/>
  <cols>
    <col min="1" max="1" width="3.75" style="9" bestFit="1" customWidth="1"/>
    <col min="2" max="2" width="4" style="9" bestFit="1" customWidth="1"/>
    <col min="3" max="3" width="3.75" style="9" bestFit="1" customWidth="1"/>
    <col min="4" max="7" width="6.875" style="9" customWidth="1"/>
    <col min="8" max="9" width="9.75" style="9" customWidth="1"/>
    <col min="10" max="10" width="22.125" style="9" customWidth="1"/>
    <col min="11" max="16384" width="9" style="9"/>
  </cols>
  <sheetData>
    <row r="1" spans="1:10" ht="20.25" thickBot="1" x14ac:dyDescent="0.45">
      <c r="A1" s="7" t="s">
        <v>0</v>
      </c>
      <c r="B1" s="7" t="s">
        <v>1</v>
      </c>
      <c r="C1" s="8" t="s">
        <v>2</v>
      </c>
      <c r="D1" s="24" t="s">
        <v>3</v>
      </c>
      <c r="E1" s="25"/>
      <c r="F1" s="25"/>
      <c r="G1" s="25"/>
      <c r="H1" s="24" t="s">
        <v>4</v>
      </c>
      <c r="I1" s="25"/>
      <c r="J1" s="22" t="s">
        <v>29</v>
      </c>
    </row>
    <row r="2" spans="1:10" ht="20.25" thickTop="1" x14ac:dyDescent="0.4">
      <c r="A2" s="10">
        <f>Setting!B1</f>
        <v>43556</v>
      </c>
      <c r="B2" s="11">
        <f>A2</f>
        <v>43556</v>
      </c>
      <c r="C2" s="12">
        <f>A2</f>
        <v>43556</v>
      </c>
      <c r="D2" s="13">
        <v>1111</v>
      </c>
      <c r="E2" s="14"/>
      <c r="F2" s="14"/>
      <c r="G2" s="14"/>
      <c r="H2" s="13" t="s">
        <v>28</v>
      </c>
      <c r="I2" s="14"/>
      <c r="J2" s="21"/>
    </row>
    <row r="3" spans="1:10" x14ac:dyDescent="0.4">
      <c r="A3" s="17">
        <f>IF(ROW()-ROW(A$2)+1&lt;=[0]!Days,A2+1,"")</f>
        <v>43557</v>
      </c>
      <c r="B3" s="18">
        <f>A3</f>
        <v>43557</v>
      </c>
      <c r="C3" s="19">
        <f>A3</f>
        <v>43557</v>
      </c>
      <c r="D3" s="15"/>
      <c r="E3" s="16"/>
      <c r="F3" s="16"/>
      <c r="G3" s="16"/>
      <c r="H3" s="15"/>
      <c r="I3" s="16"/>
      <c r="J3" s="20"/>
    </row>
    <row r="4" spans="1:10" x14ac:dyDescent="0.4">
      <c r="A4" s="17">
        <f>IF(ROW()-ROW(A$2)+1&lt;=[0]!Days,A3+1,"")</f>
        <v>43558</v>
      </c>
      <c r="B4" s="18">
        <f t="shared" ref="B4:B34" si="0">A4</f>
        <v>43558</v>
      </c>
      <c r="C4" s="19">
        <f t="shared" ref="C4:C32" si="1">A4</f>
        <v>43558</v>
      </c>
      <c r="D4" s="15"/>
      <c r="E4" s="16"/>
      <c r="F4" s="16"/>
      <c r="G4" s="16"/>
      <c r="H4" s="15"/>
      <c r="I4" s="16"/>
      <c r="J4" s="20"/>
    </row>
    <row r="5" spans="1:10" x14ac:dyDescent="0.4">
      <c r="A5" s="17">
        <f>IF(ROW()-ROW(A$2)+1&lt;=[0]!Days,A4+1,"")</f>
        <v>43559</v>
      </c>
      <c r="B5" s="18">
        <f t="shared" si="0"/>
        <v>43559</v>
      </c>
      <c r="C5" s="19">
        <f t="shared" si="1"/>
        <v>43559</v>
      </c>
      <c r="D5" s="15"/>
      <c r="E5" s="16"/>
      <c r="F5" s="16"/>
      <c r="G5" s="16"/>
      <c r="H5" s="15"/>
      <c r="I5" s="16"/>
      <c r="J5" s="20"/>
    </row>
    <row r="6" spans="1:10" x14ac:dyDescent="0.4">
      <c r="A6" s="17">
        <f>IF(ROW()-ROW(A$2)+1&lt;=[0]!Days,A5+1,"")</f>
        <v>43560</v>
      </c>
      <c r="B6" s="18">
        <f t="shared" si="0"/>
        <v>43560</v>
      </c>
      <c r="C6" s="19">
        <f t="shared" si="1"/>
        <v>43560</v>
      </c>
      <c r="D6" s="15"/>
      <c r="E6" s="16"/>
      <c r="F6" s="16"/>
      <c r="G6" s="16"/>
      <c r="H6" s="15"/>
      <c r="I6" s="16"/>
      <c r="J6" s="20"/>
    </row>
    <row r="7" spans="1:10" x14ac:dyDescent="0.4">
      <c r="A7" s="17">
        <f>IF(ROW()-ROW(A$2)+1&lt;=[0]!Days,A6+1,"")</f>
        <v>43561</v>
      </c>
      <c r="B7" s="18">
        <f t="shared" si="0"/>
        <v>43561</v>
      </c>
      <c r="C7" s="19">
        <f t="shared" si="1"/>
        <v>43561</v>
      </c>
      <c r="D7" s="15"/>
      <c r="E7" s="16"/>
      <c r="F7" s="16"/>
      <c r="G7" s="16"/>
      <c r="H7" s="15"/>
      <c r="I7" s="16"/>
      <c r="J7" s="20"/>
    </row>
    <row r="8" spans="1:10" x14ac:dyDescent="0.4">
      <c r="A8" s="17">
        <f>IF(ROW()-ROW(A$2)+1&lt;=[0]!Days,A7+1,"")</f>
        <v>43562</v>
      </c>
      <c r="B8" s="18">
        <f t="shared" si="0"/>
        <v>43562</v>
      </c>
      <c r="C8" s="19">
        <f t="shared" si="1"/>
        <v>43562</v>
      </c>
      <c r="D8" s="15"/>
      <c r="E8" s="16"/>
      <c r="F8" s="16"/>
      <c r="G8" s="16"/>
      <c r="H8" s="15"/>
      <c r="I8" s="16"/>
      <c r="J8" s="20"/>
    </row>
    <row r="9" spans="1:10" x14ac:dyDescent="0.4">
      <c r="A9" s="17">
        <f>IF(ROW()-ROW(A$2)+1&lt;=[0]!Days,A8+1,"")</f>
        <v>43563</v>
      </c>
      <c r="B9" s="18">
        <f t="shared" si="0"/>
        <v>43563</v>
      </c>
      <c r="C9" s="19">
        <f t="shared" si="1"/>
        <v>43563</v>
      </c>
      <c r="D9" s="15"/>
      <c r="E9" s="16"/>
      <c r="F9" s="16"/>
      <c r="G9" s="16"/>
      <c r="H9" s="15"/>
      <c r="I9" s="16"/>
      <c r="J9" s="20"/>
    </row>
    <row r="10" spans="1:10" x14ac:dyDescent="0.4">
      <c r="A10" s="17">
        <f>IF(ROW()-ROW(A$2)+1&lt;=[0]!Days,A9+1,"")</f>
        <v>43564</v>
      </c>
      <c r="B10" s="18">
        <f t="shared" si="0"/>
        <v>43564</v>
      </c>
      <c r="C10" s="19">
        <f t="shared" si="1"/>
        <v>43564</v>
      </c>
      <c r="D10" s="15"/>
      <c r="E10" s="16"/>
      <c r="F10" s="16"/>
      <c r="G10" s="16"/>
      <c r="H10" s="15"/>
      <c r="I10" s="16"/>
      <c r="J10" s="20"/>
    </row>
    <row r="11" spans="1:10" x14ac:dyDescent="0.4">
      <c r="A11" s="17">
        <f>IF(ROW()-ROW(A$2)+1&lt;=[0]!Days,A10+1,"")</f>
        <v>43565</v>
      </c>
      <c r="B11" s="18">
        <f t="shared" si="0"/>
        <v>43565</v>
      </c>
      <c r="C11" s="19">
        <f t="shared" si="1"/>
        <v>43565</v>
      </c>
      <c r="D11" s="15"/>
      <c r="E11" s="16"/>
      <c r="F11" s="16"/>
      <c r="G11" s="16"/>
      <c r="H11" s="15"/>
      <c r="I11" s="16"/>
      <c r="J11" s="20"/>
    </row>
    <row r="12" spans="1:10" x14ac:dyDescent="0.4">
      <c r="A12" s="17">
        <f>IF(ROW()-ROW(A$2)+1&lt;=[0]!Days,A11+1,"")</f>
        <v>43566</v>
      </c>
      <c r="B12" s="18">
        <f t="shared" si="0"/>
        <v>43566</v>
      </c>
      <c r="C12" s="19">
        <f t="shared" si="1"/>
        <v>43566</v>
      </c>
      <c r="D12" s="15"/>
      <c r="E12" s="16"/>
      <c r="F12" s="16"/>
      <c r="G12" s="16"/>
      <c r="H12" s="15"/>
      <c r="I12" s="16"/>
      <c r="J12" s="20"/>
    </row>
    <row r="13" spans="1:10" x14ac:dyDescent="0.4">
      <c r="A13" s="17">
        <f>IF(ROW()-ROW(A$2)+1&lt;=[0]!Days,A12+1,"")</f>
        <v>43567</v>
      </c>
      <c r="B13" s="18">
        <f t="shared" si="0"/>
        <v>43567</v>
      </c>
      <c r="C13" s="19">
        <f t="shared" si="1"/>
        <v>43567</v>
      </c>
      <c r="D13" s="15"/>
      <c r="E13" s="16"/>
      <c r="F13" s="16"/>
      <c r="G13" s="16"/>
      <c r="H13" s="15"/>
      <c r="I13" s="16"/>
      <c r="J13" s="20"/>
    </row>
    <row r="14" spans="1:10" x14ac:dyDescent="0.4">
      <c r="A14" s="17">
        <f>IF(ROW()-ROW(A$2)+1&lt;=[0]!Days,A13+1,"")</f>
        <v>43568</v>
      </c>
      <c r="B14" s="18">
        <f t="shared" si="0"/>
        <v>43568</v>
      </c>
      <c r="C14" s="19">
        <f t="shared" si="1"/>
        <v>43568</v>
      </c>
      <c r="D14" s="15"/>
      <c r="E14" s="16"/>
      <c r="F14" s="16"/>
      <c r="G14" s="16"/>
      <c r="H14" s="15"/>
      <c r="I14" s="16"/>
      <c r="J14" s="20"/>
    </row>
    <row r="15" spans="1:10" x14ac:dyDescent="0.4">
      <c r="A15" s="17">
        <f>IF(ROW()-ROW(A$2)+1&lt;=[0]!Days,A14+1,"")</f>
        <v>43569</v>
      </c>
      <c r="B15" s="18">
        <f t="shared" si="0"/>
        <v>43569</v>
      </c>
      <c r="C15" s="19">
        <f t="shared" si="1"/>
        <v>43569</v>
      </c>
      <c r="D15" s="15"/>
      <c r="E15" s="16"/>
      <c r="F15" s="16"/>
      <c r="G15" s="16"/>
      <c r="H15" s="15"/>
      <c r="I15" s="16"/>
      <c r="J15" s="20"/>
    </row>
    <row r="16" spans="1:10" x14ac:dyDescent="0.4">
      <c r="A16" s="17">
        <f>IF(ROW()-ROW(A$2)+1&lt;=[0]!Days,A15+1,"")</f>
        <v>43570</v>
      </c>
      <c r="B16" s="18">
        <f t="shared" si="0"/>
        <v>43570</v>
      </c>
      <c r="C16" s="19">
        <f t="shared" si="1"/>
        <v>43570</v>
      </c>
      <c r="D16" s="15"/>
      <c r="E16" s="16"/>
      <c r="F16" s="16"/>
      <c r="G16" s="16"/>
      <c r="H16" s="15"/>
      <c r="I16" s="16"/>
      <c r="J16" s="20"/>
    </row>
    <row r="17" spans="1:10" x14ac:dyDescent="0.4">
      <c r="A17" s="17">
        <f>IF(ROW()-ROW(A$2)+1&lt;=[0]!Days,A16+1,"")</f>
        <v>43571</v>
      </c>
      <c r="B17" s="18">
        <f t="shared" si="0"/>
        <v>43571</v>
      </c>
      <c r="C17" s="19">
        <f t="shared" si="1"/>
        <v>43571</v>
      </c>
      <c r="D17" s="15"/>
      <c r="E17" s="16"/>
      <c r="F17" s="16"/>
      <c r="G17" s="16"/>
      <c r="H17" s="15"/>
      <c r="I17" s="16"/>
      <c r="J17" s="20"/>
    </row>
    <row r="18" spans="1:10" x14ac:dyDescent="0.4">
      <c r="A18" s="17">
        <f>IF(ROW()-ROW(A$2)+1&lt;=[0]!Days,A17+1,"")</f>
        <v>43572</v>
      </c>
      <c r="B18" s="18">
        <f t="shared" si="0"/>
        <v>43572</v>
      </c>
      <c r="C18" s="19">
        <f t="shared" si="1"/>
        <v>43572</v>
      </c>
      <c r="D18" s="15"/>
      <c r="E18" s="16"/>
      <c r="F18" s="16"/>
      <c r="G18" s="16"/>
      <c r="H18" s="15"/>
      <c r="I18" s="16"/>
      <c r="J18" s="20"/>
    </row>
    <row r="19" spans="1:10" x14ac:dyDescent="0.4">
      <c r="A19" s="17">
        <f>IF(ROW()-ROW(A$2)+1&lt;=[0]!Days,A18+1,"")</f>
        <v>43573</v>
      </c>
      <c r="B19" s="18">
        <f t="shared" si="0"/>
        <v>43573</v>
      </c>
      <c r="C19" s="19">
        <f t="shared" si="1"/>
        <v>43573</v>
      </c>
      <c r="D19" s="15"/>
      <c r="E19" s="16"/>
      <c r="F19" s="16"/>
      <c r="G19" s="16"/>
      <c r="H19" s="15"/>
      <c r="I19" s="16"/>
      <c r="J19" s="20"/>
    </row>
    <row r="20" spans="1:10" x14ac:dyDescent="0.4">
      <c r="A20" s="17">
        <f>IF(ROW()-ROW(A$2)+1&lt;=[0]!Days,A19+1,"")</f>
        <v>43574</v>
      </c>
      <c r="B20" s="18">
        <f t="shared" si="0"/>
        <v>43574</v>
      </c>
      <c r="C20" s="19">
        <f t="shared" si="1"/>
        <v>43574</v>
      </c>
      <c r="D20" s="15"/>
      <c r="E20" s="16"/>
      <c r="F20" s="16"/>
      <c r="G20" s="16"/>
      <c r="H20" s="15"/>
      <c r="I20" s="16"/>
      <c r="J20" s="20"/>
    </row>
    <row r="21" spans="1:10" x14ac:dyDescent="0.4">
      <c r="A21" s="17">
        <f>IF(ROW()-ROW(A$2)+1&lt;=[0]!Days,A20+1,"")</f>
        <v>43575</v>
      </c>
      <c r="B21" s="18">
        <f t="shared" si="0"/>
        <v>43575</v>
      </c>
      <c r="C21" s="19">
        <f t="shared" si="1"/>
        <v>43575</v>
      </c>
      <c r="D21" s="15"/>
      <c r="E21" s="16"/>
      <c r="F21" s="16"/>
      <c r="G21" s="16"/>
      <c r="H21" s="15"/>
      <c r="I21" s="16"/>
      <c r="J21" s="20"/>
    </row>
    <row r="22" spans="1:10" x14ac:dyDescent="0.4">
      <c r="A22" s="17">
        <f>IF(ROW()-ROW(A$2)+1&lt;=[0]!Days,A21+1,"")</f>
        <v>43576</v>
      </c>
      <c r="B22" s="18">
        <f t="shared" si="0"/>
        <v>43576</v>
      </c>
      <c r="C22" s="19">
        <f t="shared" si="1"/>
        <v>43576</v>
      </c>
      <c r="D22" s="15"/>
      <c r="E22" s="16"/>
      <c r="F22" s="16"/>
      <c r="G22" s="16"/>
      <c r="H22" s="15"/>
      <c r="I22" s="16"/>
      <c r="J22" s="20"/>
    </row>
    <row r="23" spans="1:10" x14ac:dyDescent="0.4">
      <c r="A23" s="17">
        <f>IF(ROW()-ROW(A$2)+1&lt;=[0]!Days,A22+1,"")</f>
        <v>43577</v>
      </c>
      <c r="B23" s="18">
        <f t="shared" si="0"/>
        <v>43577</v>
      </c>
      <c r="C23" s="19">
        <f t="shared" si="1"/>
        <v>43577</v>
      </c>
      <c r="D23" s="15"/>
      <c r="E23" s="16"/>
      <c r="F23" s="16"/>
      <c r="G23" s="16"/>
      <c r="H23" s="15"/>
      <c r="I23" s="16"/>
      <c r="J23" s="20"/>
    </row>
    <row r="24" spans="1:10" x14ac:dyDescent="0.4">
      <c r="A24" s="17">
        <f>IF(ROW()-ROW(A$2)+1&lt;=[0]!Days,A23+1,"")</f>
        <v>43578</v>
      </c>
      <c r="B24" s="18">
        <f t="shared" si="0"/>
        <v>43578</v>
      </c>
      <c r="C24" s="19">
        <f t="shared" si="1"/>
        <v>43578</v>
      </c>
      <c r="D24" s="15"/>
      <c r="E24" s="16"/>
      <c r="F24" s="16"/>
      <c r="G24" s="16"/>
      <c r="H24" s="15"/>
      <c r="I24" s="16"/>
      <c r="J24" s="20"/>
    </row>
    <row r="25" spans="1:10" x14ac:dyDescent="0.4">
      <c r="A25" s="17">
        <f>IF(ROW()-ROW(A$2)+1&lt;=[0]!Days,A24+1,"")</f>
        <v>43579</v>
      </c>
      <c r="B25" s="18">
        <f t="shared" si="0"/>
        <v>43579</v>
      </c>
      <c r="C25" s="19">
        <f t="shared" si="1"/>
        <v>43579</v>
      </c>
      <c r="D25" s="15"/>
      <c r="E25" s="16"/>
      <c r="F25" s="16"/>
      <c r="G25" s="16"/>
      <c r="H25" s="15"/>
      <c r="I25" s="16"/>
      <c r="J25" s="20"/>
    </row>
    <row r="26" spans="1:10" x14ac:dyDescent="0.4">
      <c r="A26" s="17">
        <f>IF(ROW()-ROW(A$2)+1&lt;=[0]!Days,A25+1,"")</f>
        <v>43580</v>
      </c>
      <c r="B26" s="18">
        <f t="shared" si="0"/>
        <v>43580</v>
      </c>
      <c r="C26" s="19">
        <f t="shared" si="1"/>
        <v>43580</v>
      </c>
      <c r="D26" s="15"/>
      <c r="E26" s="16"/>
      <c r="F26" s="16"/>
      <c r="G26" s="16"/>
      <c r="H26" s="15"/>
      <c r="I26" s="16"/>
      <c r="J26" s="20"/>
    </row>
    <row r="27" spans="1:10" x14ac:dyDescent="0.4">
      <c r="A27" s="17">
        <f>IF(ROW()-ROW(A$2)+1&lt;=[0]!Days,A26+1,"")</f>
        <v>43581</v>
      </c>
      <c r="B27" s="18">
        <f t="shared" si="0"/>
        <v>43581</v>
      </c>
      <c r="C27" s="19">
        <f t="shared" si="1"/>
        <v>43581</v>
      </c>
      <c r="D27" s="15"/>
      <c r="E27" s="16"/>
      <c r="F27" s="16"/>
      <c r="G27" s="16"/>
      <c r="H27" s="15"/>
      <c r="I27" s="16"/>
      <c r="J27" s="20"/>
    </row>
    <row r="28" spans="1:10" x14ac:dyDescent="0.4">
      <c r="A28" s="17">
        <f>IF(ROW()-ROW(A$2)+1&lt;=[0]!Days,A27+1,"")</f>
        <v>43582</v>
      </c>
      <c r="B28" s="18">
        <f t="shared" si="0"/>
        <v>43582</v>
      </c>
      <c r="C28" s="19">
        <f t="shared" si="1"/>
        <v>43582</v>
      </c>
      <c r="D28" s="15"/>
      <c r="E28" s="16"/>
      <c r="F28" s="16"/>
      <c r="G28" s="16"/>
      <c r="H28" s="15"/>
      <c r="I28" s="16"/>
      <c r="J28" s="20"/>
    </row>
    <row r="29" spans="1:10" x14ac:dyDescent="0.4">
      <c r="A29" s="17">
        <f>IF(ROW()-ROW(A$2)+1&lt;=[0]!Days,A28+1,"")</f>
        <v>43583</v>
      </c>
      <c r="B29" s="18">
        <f t="shared" si="0"/>
        <v>43583</v>
      </c>
      <c r="C29" s="19">
        <f t="shared" si="1"/>
        <v>43583</v>
      </c>
      <c r="D29" s="15"/>
      <c r="E29" s="16"/>
      <c r="F29" s="16"/>
      <c r="G29" s="16"/>
      <c r="H29" s="15"/>
      <c r="I29" s="16"/>
      <c r="J29" s="20"/>
    </row>
    <row r="30" spans="1:10" x14ac:dyDescent="0.4">
      <c r="A30" s="17">
        <f>IF(ROW()-ROW(A$2)+1&lt;=[0]!Days,A29+1,"")</f>
        <v>43584</v>
      </c>
      <c r="B30" s="18">
        <f t="shared" si="0"/>
        <v>43584</v>
      </c>
      <c r="C30" s="19">
        <f t="shared" si="1"/>
        <v>43584</v>
      </c>
      <c r="D30" s="15"/>
      <c r="E30" s="16"/>
      <c r="F30" s="16"/>
      <c r="G30" s="16"/>
      <c r="H30" s="15"/>
      <c r="I30" s="16"/>
      <c r="J30" s="20"/>
    </row>
    <row r="31" spans="1:10" x14ac:dyDescent="0.4">
      <c r="A31" s="17">
        <f>IF(ROW()-ROW(A$2)+1&lt;=[0]!Days,A30+1,"")</f>
        <v>43585</v>
      </c>
      <c r="B31" s="18">
        <f t="shared" si="0"/>
        <v>43585</v>
      </c>
      <c r="C31" s="19">
        <f t="shared" si="1"/>
        <v>43585</v>
      </c>
      <c r="D31" s="15"/>
      <c r="E31" s="16"/>
      <c r="F31" s="16"/>
      <c r="G31" s="16"/>
      <c r="H31" s="15"/>
      <c r="I31" s="16"/>
      <c r="J31" s="20"/>
    </row>
    <row r="32" spans="1:10" x14ac:dyDescent="0.4">
      <c r="A32" s="17" t="str">
        <f>IF(ROW()-ROW(A$2)+1&lt;=[0]!Days,A31+1,"")</f>
        <v/>
      </c>
      <c r="B32" s="18" t="str">
        <f t="shared" si="0"/>
        <v/>
      </c>
      <c r="C32" s="19" t="str">
        <f t="shared" si="1"/>
        <v/>
      </c>
      <c r="D32" s="15"/>
      <c r="E32" s="16"/>
      <c r="F32" s="16"/>
      <c r="G32" s="16"/>
      <c r="H32" s="15"/>
      <c r="I32" s="16"/>
      <c r="J32" s="20"/>
    </row>
    <row r="33" spans="1:10" x14ac:dyDescent="0.4">
      <c r="A33" s="17" t="str">
        <f>IF(ROW()-ROW(A$2)+1&lt;=[0]!Days,A32+1,"")</f>
        <v/>
      </c>
      <c r="B33" s="18" t="str">
        <f t="shared" si="0"/>
        <v/>
      </c>
      <c r="C33" s="19" t="str">
        <f t="shared" ref="C33:C34" si="2">A33</f>
        <v/>
      </c>
      <c r="D33" s="15"/>
      <c r="E33" s="16"/>
      <c r="F33" s="16"/>
      <c r="G33" s="16"/>
      <c r="H33" s="15"/>
      <c r="I33" s="16"/>
      <c r="J33" s="20"/>
    </row>
    <row r="34" spans="1:10" x14ac:dyDescent="0.4">
      <c r="A34" s="17" t="str">
        <f>IF(ROW()-ROW(A$2)+1&lt;=[0]!Days,A33+1,"")</f>
        <v/>
      </c>
      <c r="B34" s="18" t="str">
        <f t="shared" si="0"/>
        <v/>
      </c>
      <c r="C34" s="19" t="str">
        <f t="shared" si="2"/>
        <v/>
      </c>
      <c r="D34" s="15"/>
      <c r="E34" s="16"/>
      <c r="F34" s="16"/>
      <c r="G34" s="16"/>
      <c r="H34" s="15"/>
      <c r="I34" s="16"/>
      <c r="J34" s="20"/>
    </row>
    <row r="35" spans="1:10" x14ac:dyDescent="0.4">
      <c r="A35" s="26" t="s">
        <v>11</v>
      </c>
      <c r="B35" s="26"/>
      <c r="C35" s="26"/>
      <c r="D35" s="26"/>
      <c r="E35" s="26"/>
      <c r="F35" s="26"/>
      <c r="G35" s="26"/>
      <c r="H35" s="26"/>
      <c r="I35" s="26"/>
      <c r="J35" s="26"/>
    </row>
    <row r="36" spans="1:10" x14ac:dyDescent="0.4">
      <c r="A36" s="27" t="s">
        <v>10</v>
      </c>
      <c r="B36" s="27"/>
      <c r="C36" s="27"/>
      <c r="D36" s="27"/>
      <c r="E36" s="27"/>
      <c r="F36" s="27"/>
      <c r="G36" s="27"/>
      <c r="H36" s="27"/>
      <c r="I36" s="27"/>
      <c r="J36" s="27"/>
    </row>
    <row r="37" spans="1:10" x14ac:dyDescent="0.4">
      <c r="A37" s="27" t="s">
        <v>12</v>
      </c>
      <c r="B37" s="27"/>
      <c r="C37" s="27"/>
      <c r="D37" s="27"/>
      <c r="E37" s="27"/>
      <c r="F37" s="27"/>
      <c r="G37" s="27"/>
      <c r="H37" s="27"/>
      <c r="I37" s="27"/>
      <c r="J37" s="27"/>
    </row>
    <row r="38" spans="1:10" x14ac:dyDescent="0.4">
      <c r="A38" s="27" t="s">
        <v>18</v>
      </c>
      <c r="B38" s="27"/>
      <c r="C38" s="27"/>
      <c r="D38" s="27"/>
      <c r="E38" s="27"/>
      <c r="F38" s="27"/>
      <c r="G38" s="27"/>
      <c r="H38" s="27"/>
      <c r="I38" s="27"/>
      <c r="J38" s="27"/>
    </row>
  </sheetData>
  <sheetProtection formatCells="0" formatColumns="0" formatRows="0"/>
  <mergeCells count="6">
    <mergeCell ref="A38:J38"/>
    <mergeCell ref="D1:G1"/>
    <mergeCell ref="H1:I1"/>
    <mergeCell ref="A35:J35"/>
    <mergeCell ref="A36:J36"/>
    <mergeCell ref="A37:J37"/>
  </mergeCells>
  <phoneticPr fontId="1"/>
  <conditionalFormatting sqref="A2:J34">
    <cfRule type="expression" dxfId="5" priority="1">
      <formula>$A2=""</formula>
    </cfRule>
  </conditionalFormatting>
  <conditionalFormatting sqref="B2:J34">
    <cfRule type="expression" dxfId="4" priority="2">
      <formula>AND($A2&lt;&gt;"",TEXT($A2,"aaa")="日")</formula>
    </cfRule>
    <cfRule type="expression" dxfId="3" priority="3">
      <formula>AND($A2&lt;&gt;"",TEXT($A2,"aaa")="土")</formula>
    </cfRule>
  </conditionalFormatting>
  <pageMargins left="0.7" right="0.7" top="0.75" bottom="0.75" header="0.3" footer="0.3"/>
  <pageSetup paperSize="9" fitToHeight="0" orientation="portrait" horizontalDpi="4294967293" r:id="rId1"/>
  <headerFooter>
    <oddHeader>&amp;C&amp;16&amp;""4月 風呂・シャワー室掃除当番表</oddHeader>
    <oddFooter>&amp;R&amp;12副風呂委員長 51??号室 井出 健人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A0B8F-AE68-4206-84E5-093439E8DAD1}">
  <sheetPr codeName="Sheet3"/>
  <dimension ref="A1:C1"/>
  <sheetViews>
    <sheetView workbookViewId="0"/>
  </sheetViews>
  <sheetFormatPr defaultRowHeight="18.75" x14ac:dyDescent="0.4"/>
  <cols>
    <col min="1" max="1" width="11.375" style="1" customWidth="1"/>
    <col min="2" max="3" width="7.75" style="1" customWidth="1"/>
  </cols>
  <sheetData>
    <row r="1" spans="1:3" x14ac:dyDescent="0.4">
      <c r="A1" s="6" t="s">
        <v>25</v>
      </c>
      <c r="B1" s="6" t="s">
        <v>26</v>
      </c>
      <c r="C1" s="6" t="s">
        <v>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25DEB-7C00-4480-A510-CAA07EA9BED4}">
  <dimension ref="A1:E73"/>
  <sheetViews>
    <sheetView workbookViewId="0"/>
  </sheetViews>
  <sheetFormatPr defaultRowHeight="18.75" x14ac:dyDescent="0.4"/>
  <cols>
    <col min="1" max="1" width="11.375" style="2" bestFit="1" customWidth="1"/>
    <col min="2" max="2" width="23" style="3" customWidth="1"/>
    <col min="3" max="3" width="3.25" customWidth="1"/>
    <col min="4" max="4" width="11.375" style="2" bestFit="1" customWidth="1"/>
    <col min="5" max="5" width="23" style="3" customWidth="1"/>
  </cols>
  <sheetData>
    <row r="1" spans="1:5" x14ac:dyDescent="0.4">
      <c r="A1" s="28" t="s">
        <v>53</v>
      </c>
      <c r="B1" s="6" t="s">
        <v>54</v>
      </c>
      <c r="D1" s="28" t="s">
        <v>53</v>
      </c>
      <c r="E1" s="6" t="s">
        <v>55</v>
      </c>
    </row>
    <row r="2" spans="1:5" x14ac:dyDescent="0.4">
      <c r="A2" s="2">
        <v>43466</v>
      </c>
      <c r="B2" s="3" t="s">
        <v>45</v>
      </c>
      <c r="D2" s="2">
        <v>43555</v>
      </c>
      <c r="E2" s="3" t="s">
        <v>56</v>
      </c>
    </row>
    <row r="3" spans="1:5" x14ac:dyDescent="0.4">
      <c r="A3" s="2">
        <v>43479</v>
      </c>
      <c r="B3" s="3" t="s">
        <v>44</v>
      </c>
      <c r="D3" s="2">
        <v>43556</v>
      </c>
      <c r="E3" s="3" t="s">
        <v>57</v>
      </c>
    </row>
    <row r="4" spans="1:5" x14ac:dyDescent="0.4">
      <c r="A4" s="2">
        <v>43507</v>
      </c>
      <c r="B4" s="3" t="s">
        <v>43</v>
      </c>
      <c r="D4" s="2">
        <v>43558</v>
      </c>
      <c r="E4" s="3" t="s">
        <v>58</v>
      </c>
    </row>
    <row r="5" spans="1:5" x14ac:dyDescent="0.4">
      <c r="A5" s="2">
        <v>43545</v>
      </c>
      <c r="B5" s="3" t="s">
        <v>41</v>
      </c>
      <c r="D5" s="2">
        <v>43559</v>
      </c>
      <c r="E5" s="3" t="s">
        <v>59</v>
      </c>
    </row>
    <row r="6" spans="1:5" x14ac:dyDescent="0.4">
      <c r="A6" s="2">
        <v>43584</v>
      </c>
      <c r="B6" s="3" t="s">
        <v>40</v>
      </c>
    </row>
    <row r="7" spans="1:5" x14ac:dyDescent="0.4">
      <c r="A7" s="2">
        <v>43585</v>
      </c>
      <c r="B7" s="3" t="s">
        <v>52</v>
      </c>
    </row>
    <row r="8" spans="1:5" x14ac:dyDescent="0.4">
      <c r="A8" s="2">
        <v>43586</v>
      </c>
      <c r="B8" s="3" t="s">
        <v>51</v>
      </c>
    </row>
    <row r="9" spans="1:5" x14ac:dyDescent="0.4">
      <c r="A9" s="2">
        <v>43587</v>
      </c>
      <c r="B9" s="3" t="s">
        <v>50</v>
      </c>
    </row>
    <row r="10" spans="1:5" x14ac:dyDescent="0.4">
      <c r="A10" s="2">
        <v>43588</v>
      </c>
      <c r="B10" s="3" t="s">
        <v>39</v>
      </c>
    </row>
    <row r="11" spans="1:5" x14ac:dyDescent="0.4">
      <c r="A11" s="2">
        <v>43589</v>
      </c>
      <c r="B11" s="3" t="s">
        <v>38</v>
      </c>
    </row>
    <row r="12" spans="1:5" x14ac:dyDescent="0.4">
      <c r="A12" s="2">
        <v>43590</v>
      </c>
      <c r="B12" s="3" t="s">
        <v>37</v>
      </c>
    </row>
    <row r="13" spans="1:5" x14ac:dyDescent="0.4">
      <c r="A13" s="2">
        <v>43591</v>
      </c>
      <c r="B13" s="3" t="s">
        <v>47</v>
      </c>
    </row>
    <row r="14" spans="1:5" x14ac:dyDescent="0.4">
      <c r="A14" s="2">
        <v>43661</v>
      </c>
      <c r="B14" s="3" t="s">
        <v>36</v>
      </c>
    </row>
    <row r="15" spans="1:5" x14ac:dyDescent="0.4">
      <c r="A15" s="2">
        <v>43688</v>
      </c>
      <c r="B15" s="3" t="s">
        <v>46</v>
      </c>
    </row>
    <row r="16" spans="1:5" x14ac:dyDescent="0.4">
      <c r="A16" s="2">
        <v>43689</v>
      </c>
      <c r="B16" s="3" t="s">
        <v>47</v>
      </c>
    </row>
    <row r="17" spans="1:2" x14ac:dyDescent="0.4">
      <c r="A17" s="2">
        <v>43724</v>
      </c>
      <c r="B17" s="3" t="s">
        <v>34</v>
      </c>
    </row>
    <row r="18" spans="1:2" x14ac:dyDescent="0.4">
      <c r="A18" s="2">
        <v>43731</v>
      </c>
      <c r="B18" s="3" t="s">
        <v>33</v>
      </c>
    </row>
    <row r="19" spans="1:2" x14ac:dyDescent="0.4">
      <c r="A19" s="2">
        <v>43752</v>
      </c>
      <c r="B19" s="3" t="s">
        <v>49</v>
      </c>
    </row>
    <row r="20" spans="1:2" x14ac:dyDescent="0.4">
      <c r="A20" s="2">
        <v>43760</v>
      </c>
      <c r="B20" s="3" t="s">
        <v>48</v>
      </c>
    </row>
    <row r="21" spans="1:2" x14ac:dyDescent="0.4">
      <c r="A21" s="2">
        <v>43772</v>
      </c>
      <c r="B21" s="3" t="s">
        <v>31</v>
      </c>
    </row>
    <row r="22" spans="1:2" x14ac:dyDescent="0.4">
      <c r="A22" s="2">
        <v>43773</v>
      </c>
      <c r="B22" s="3" t="s">
        <v>47</v>
      </c>
    </row>
    <row r="23" spans="1:2" x14ac:dyDescent="0.4">
      <c r="A23" s="2">
        <v>43792</v>
      </c>
      <c r="B23" s="3" t="s">
        <v>30</v>
      </c>
    </row>
    <row r="24" spans="1:2" x14ac:dyDescent="0.4">
      <c r="A24" s="2">
        <v>43831</v>
      </c>
      <c r="B24" s="3" t="s">
        <v>45</v>
      </c>
    </row>
    <row r="25" spans="1:2" x14ac:dyDescent="0.4">
      <c r="A25" s="2">
        <v>43843</v>
      </c>
      <c r="B25" s="3" t="s">
        <v>44</v>
      </c>
    </row>
    <row r="26" spans="1:2" x14ac:dyDescent="0.4">
      <c r="A26" s="2">
        <v>43872</v>
      </c>
      <c r="B26" s="3" t="s">
        <v>43</v>
      </c>
    </row>
    <row r="27" spans="1:2" x14ac:dyDescent="0.4">
      <c r="A27" s="2">
        <v>43884</v>
      </c>
      <c r="B27" s="3" t="s">
        <v>42</v>
      </c>
    </row>
    <row r="28" spans="1:2" x14ac:dyDescent="0.4">
      <c r="A28" s="2">
        <v>43885</v>
      </c>
      <c r="B28" s="3" t="s">
        <v>47</v>
      </c>
    </row>
    <row r="29" spans="1:2" x14ac:dyDescent="0.4">
      <c r="A29" s="2">
        <v>43910</v>
      </c>
      <c r="B29" s="3" t="s">
        <v>41</v>
      </c>
    </row>
    <row r="30" spans="1:2" x14ac:dyDescent="0.4">
      <c r="A30" s="2">
        <v>43950</v>
      </c>
      <c r="B30" s="3" t="s">
        <v>40</v>
      </c>
    </row>
    <row r="31" spans="1:2" x14ac:dyDescent="0.4">
      <c r="A31" s="2">
        <v>43954</v>
      </c>
      <c r="B31" s="3" t="s">
        <v>39</v>
      </c>
    </row>
    <row r="32" spans="1:2" x14ac:dyDescent="0.4">
      <c r="A32" s="2">
        <v>43955</v>
      </c>
      <c r="B32" s="3" t="s">
        <v>38</v>
      </c>
    </row>
    <row r="33" spans="1:2" x14ac:dyDescent="0.4">
      <c r="A33" s="2">
        <v>43956</v>
      </c>
      <c r="B33" s="3" t="s">
        <v>37</v>
      </c>
    </row>
    <row r="34" spans="1:2" x14ac:dyDescent="0.4">
      <c r="A34" s="2">
        <v>43957</v>
      </c>
      <c r="B34" s="3" t="s">
        <v>47</v>
      </c>
    </row>
    <row r="35" spans="1:2" x14ac:dyDescent="0.4">
      <c r="A35" s="2">
        <v>44035</v>
      </c>
      <c r="B35" s="3" t="s">
        <v>36</v>
      </c>
    </row>
    <row r="36" spans="1:2" x14ac:dyDescent="0.4">
      <c r="A36" s="2">
        <v>44036</v>
      </c>
      <c r="B36" s="3" t="s">
        <v>32</v>
      </c>
    </row>
    <row r="37" spans="1:2" x14ac:dyDescent="0.4">
      <c r="A37" s="2">
        <v>44053</v>
      </c>
      <c r="B37" s="3" t="s">
        <v>46</v>
      </c>
    </row>
    <row r="38" spans="1:2" x14ac:dyDescent="0.4">
      <c r="A38" s="2">
        <v>44095</v>
      </c>
      <c r="B38" s="3" t="s">
        <v>34</v>
      </c>
    </row>
    <row r="39" spans="1:2" x14ac:dyDescent="0.4">
      <c r="A39" s="2">
        <v>44096</v>
      </c>
      <c r="B39" s="3" t="s">
        <v>33</v>
      </c>
    </row>
    <row r="40" spans="1:2" x14ac:dyDescent="0.4">
      <c r="A40" s="2">
        <v>44138</v>
      </c>
      <c r="B40" s="3" t="s">
        <v>31</v>
      </c>
    </row>
    <row r="41" spans="1:2" x14ac:dyDescent="0.4">
      <c r="A41" s="2">
        <v>44158</v>
      </c>
      <c r="B41" s="3" t="s">
        <v>30</v>
      </c>
    </row>
    <row r="42" spans="1:2" x14ac:dyDescent="0.4">
      <c r="A42" s="2">
        <v>44197</v>
      </c>
      <c r="B42" s="3" t="s">
        <v>45</v>
      </c>
    </row>
    <row r="43" spans="1:2" x14ac:dyDescent="0.4">
      <c r="A43" s="2">
        <v>44207</v>
      </c>
      <c r="B43" s="3" t="s">
        <v>44</v>
      </c>
    </row>
    <row r="44" spans="1:2" x14ac:dyDescent="0.4">
      <c r="A44" s="2">
        <v>44238</v>
      </c>
      <c r="B44" s="3" t="s">
        <v>43</v>
      </c>
    </row>
    <row r="45" spans="1:2" x14ac:dyDescent="0.4">
      <c r="A45" s="2">
        <v>44250</v>
      </c>
      <c r="B45" s="3" t="s">
        <v>42</v>
      </c>
    </row>
    <row r="46" spans="1:2" x14ac:dyDescent="0.4">
      <c r="A46" s="2">
        <v>44275</v>
      </c>
      <c r="B46" s="3" t="s">
        <v>41</v>
      </c>
    </row>
    <row r="47" spans="1:2" x14ac:dyDescent="0.4">
      <c r="A47" s="2">
        <v>44315</v>
      </c>
      <c r="B47" s="3" t="s">
        <v>40</v>
      </c>
    </row>
    <row r="48" spans="1:2" x14ac:dyDescent="0.4">
      <c r="A48" s="2">
        <v>44319</v>
      </c>
      <c r="B48" s="3" t="s">
        <v>39</v>
      </c>
    </row>
    <row r="49" spans="1:2" x14ac:dyDescent="0.4">
      <c r="A49" s="2">
        <v>44320</v>
      </c>
      <c r="B49" s="3" t="s">
        <v>38</v>
      </c>
    </row>
    <row r="50" spans="1:2" x14ac:dyDescent="0.4">
      <c r="A50" s="2">
        <v>44321</v>
      </c>
      <c r="B50" s="3" t="s">
        <v>37</v>
      </c>
    </row>
    <row r="51" spans="1:2" x14ac:dyDescent="0.4">
      <c r="A51" s="2">
        <v>44396</v>
      </c>
      <c r="B51" s="3" t="s">
        <v>36</v>
      </c>
    </row>
    <row r="52" spans="1:2" x14ac:dyDescent="0.4">
      <c r="A52" s="2">
        <v>44419</v>
      </c>
      <c r="B52" s="3" t="s">
        <v>46</v>
      </c>
    </row>
    <row r="53" spans="1:2" x14ac:dyDescent="0.4">
      <c r="A53" s="2">
        <v>44459</v>
      </c>
      <c r="B53" s="3" t="s">
        <v>34</v>
      </c>
    </row>
    <row r="54" spans="1:2" x14ac:dyDescent="0.4">
      <c r="A54" s="2">
        <v>44462</v>
      </c>
      <c r="B54" s="3" t="s">
        <v>33</v>
      </c>
    </row>
    <row r="55" spans="1:2" x14ac:dyDescent="0.4">
      <c r="A55" s="2">
        <v>44480</v>
      </c>
      <c r="B55" s="3" t="s">
        <v>32</v>
      </c>
    </row>
    <row r="56" spans="1:2" x14ac:dyDescent="0.4">
      <c r="A56" s="2">
        <v>44503</v>
      </c>
      <c r="B56" s="3" t="s">
        <v>31</v>
      </c>
    </row>
    <row r="57" spans="1:2" x14ac:dyDescent="0.4">
      <c r="A57" s="2">
        <v>44523</v>
      </c>
      <c r="B57" s="3" t="s">
        <v>30</v>
      </c>
    </row>
    <row r="58" spans="1:2" x14ac:dyDescent="0.4">
      <c r="A58" s="2">
        <v>44562</v>
      </c>
      <c r="B58" s="3" t="s">
        <v>45</v>
      </c>
    </row>
    <row r="59" spans="1:2" x14ac:dyDescent="0.4">
      <c r="A59" s="2">
        <v>44571</v>
      </c>
      <c r="B59" s="3" t="s">
        <v>44</v>
      </c>
    </row>
    <row r="60" spans="1:2" x14ac:dyDescent="0.4">
      <c r="A60" s="2">
        <v>44603</v>
      </c>
      <c r="B60" s="3" t="s">
        <v>43</v>
      </c>
    </row>
    <row r="61" spans="1:2" x14ac:dyDescent="0.4">
      <c r="A61" s="2">
        <v>44615</v>
      </c>
      <c r="B61" s="3" t="s">
        <v>42</v>
      </c>
    </row>
    <row r="62" spans="1:2" x14ac:dyDescent="0.4">
      <c r="A62" s="2">
        <v>44641</v>
      </c>
      <c r="B62" s="3" t="s">
        <v>41</v>
      </c>
    </row>
    <row r="63" spans="1:2" x14ac:dyDescent="0.4">
      <c r="A63" s="2">
        <v>44680</v>
      </c>
      <c r="B63" s="3" t="s">
        <v>40</v>
      </c>
    </row>
    <row r="64" spans="1:2" x14ac:dyDescent="0.4">
      <c r="A64" s="2">
        <v>44684</v>
      </c>
      <c r="B64" s="3" t="s">
        <v>39</v>
      </c>
    </row>
    <row r="65" spans="1:2" x14ac:dyDescent="0.4">
      <c r="A65" s="2">
        <v>44685</v>
      </c>
      <c r="B65" s="3" t="s">
        <v>38</v>
      </c>
    </row>
    <row r="66" spans="1:2" x14ac:dyDescent="0.4">
      <c r="A66" s="2">
        <v>44686</v>
      </c>
      <c r="B66" s="3" t="s">
        <v>37</v>
      </c>
    </row>
    <row r="67" spans="1:2" x14ac:dyDescent="0.4">
      <c r="A67" s="2">
        <v>44760</v>
      </c>
      <c r="B67" s="3" t="s">
        <v>36</v>
      </c>
    </row>
    <row r="68" spans="1:2" x14ac:dyDescent="0.4">
      <c r="A68" s="2">
        <v>44784</v>
      </c>
      <c r="B68" s="3" t="s">
        <v>35</v>
      </c>
    </row>
    <row r="69" spans="1:2" x14ac:dyDescent="0.4">
      <c r="A69" s="2">
        <v>44823</v>
      </c>
      <c r="B69" s="3" t="s">
        <v>34</v>
      </c>
    </row>
    <row r="70" spans="1:2" x14ac:dyDescent="0.4">
      <c r="A70" s="2">
        <v>44827</v>
      </c>
      <c r="B70" s="3" t="s">
        <v>33</v>
      </c>
    </row>
    <row r="71" spans="1:2" x14ac:dyDescent="0.4">
      <c r="A71" s="2">
        <v>44844</v>
      </c>
      <c r="B71" s="3" t="s">
        <v>32</v>
      </c>
    </row>
    <row r="72" spans="1:2" x14ac:dyDescent="0.4">
      <c r="A72" s="2">
        <v>44868</v>
      </c>
      <c r="B72" s="3" t="s">
        <v>31</v>
      </c>
    </row>
    <row r="73" spans="1:2" x14ac:dyDescent="0.4">
      <c r="A73" s="2">
        <v>44888</v>
      </c>
      <c r="B73" s="3" t="s"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Setting</vt:lpstr>
      <vt:lpstr>Template</vt:lpstr>
      <vt:lpstr>List</vt:lpstr>
      <vt:lpstr>Holiday</vt:lpstr>
      <vt:lpstr>Day</vt:lpstr>
      <vt:lpstr>Days</vt:lpstr>
      <vt:lpstr>End</vt:lpstr>
      <vt:lpstr>Footer</vt:lpstr>
      <vt:lpstr>Grade</vt:lpstr>
      <vt:lpstr>Header</vt:lpstr>
      <vt:lpstr>Template!Print_Area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2019-03-19T11:19:16Z</cp:lastPrinted>
  <dcterms:created xsi:type="dcterms:W3CDTF">2019-03-19T00:56:09Z</dcterms:created>
  <dcterms:modified xsi:type="dcterms:W3CDTF">2019-03-19T11:20:35Z</dcterms:modified>
</cp:coreProperties>
</file>