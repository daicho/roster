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roster\"/>
    </mc:Choice>
  </mc:AlternateContent>
  <xr:revisionPtr revIDLastSave="0" documentId="13_ncr:1_{B180431E-C54F-42B9-91DE-5D19A9E547EB}" xr6:coauthVersionLast="36" xr6:coauthVersionMax="36" xr10:uidLastSave="{00000000-0000-0000-0000-000000000000}"/>
  <bookViews>
    <workbookView xWindow="0" yWindow="0" windowWidth="20490" windowHeight="10755" xr2:uid="{3484DB52-3CF4-4EBE-BE25-D03D9925EBE6}"/>
  </bookViews>
  <sheets>
    <sheet name="Setting" sheetId="2" r:id="rId1"/>
    <sheet name="Template" sheetId="1" r:id="rId2"/>
    <sheet name="List" sheetId="3" r:id="rId3"/>
    <sheet name="Holiday" sheetId="6" r:id="rId4"/>
  </sheets>
  <definedNames>
    <definedName name="_xlnm._FilterDatabase" localSheetId="1" hidden="1">Template!$A$1:$I$32</definedName>
    <definedName name="Day">Setting!$D$7:$J$7</definedName>
    <definedName name="Days">Setting!$B$3</definedName>
    <definedName name="End">Setting!$B$2</definedName>
    <definedName name="Footer">Setting!$B$5</definedName>
    <definedName name="Grade">Setting!$D$3:$H$3</definedName>
    <definedName name="Header">Setting!$B$4</definedName>
    <definedName name="_xlnm.Print_Area" localSheetId="1">Template!$A$1:$J$38</definedName>
    <definedName name="Start">Setting!$B$1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4" i="1" l="1"/>
  <c r="J33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B3" i="1"/>
  <c r="A3" i="1" s="1"/>
  <c r="B34" i="1"/>
  <c r="C34" i="1" s="1"/>
  <c r="B33" i="1"/>
  <c r="C33" i="1" s="1"/>
  <c r="B32" i="1"/>
  <c r="A32" i="1" s="1"/>
  <c r="B4" i="1"/>
  <c r="B5" i="1" s="1"/>
  <c r="C2" i="1"/>
  <c r="A2" i="1"/>
  <c r="B2" i="1"/>
  <c r="J32" i="1" l="1"/>
  <c r="A4" i="1"/>
  <c r="A5" i="1"/>
  <c r="C5" i="1"/>
  <c r="B6" i="1"/>
  <c r="C32" i="1"/>
  <c r="A33" i="1"/>
  <c r="C4" i="1"/>
  <c r="A34" i="1"/>
  <c r="C3" i="1"/>
  <c r="B3" i="2"/>
  <c r="B7" i="1" l="1"/>
  <c r="C6" i="1"/>
  <c r="A6" i="1"/>
  <c r="C7" i="1" l="1"/>
  <c r="A7" i="1"/>
  <c r="B8" i="1"/>
  <c r="A8" i="1" l="1"/>
  <c r="B9" i="1"/>
  <c r="C8" i="1"/>
  <c r="B10" i="1" l="1"/>
  <c r="C9" i="1"/>
  <c r="A9" i="1"/>
  <c r="C10" i="1" l="1"/>
  <c r="A10" i="1"/>
  <c r="B11" i="1"/>
  <c r="A11" i="1" l="1"/>
  <c r="B12" i="1"/>
  <c r="C11" i="1"/>
  <c r="B13" i="1" l="1"/>
  <c r="C12" i="1"/>
  <c r="A12" i="1"/>
  <c r="A13" i="1" l="1"/>
  <c r="C13" i="1"/>
  <c r="B14" i="1"/>
  <c r="B15" i="1" l="1"/>
  <c r="C14" i="1"/>
  <c r="A14" i="1"/>
  <c r="C15" i="1" l="1"/>
  <c r="A15" i="1"/>
  <c r="B16" i="1"/>
  <c r="A16" i="1" l="1"/>
  <c r="B17" i="1"/>
  <c r="C16" i="1"/>
  <c r="B18" i="1" l="1"/>
  <c r="C17" i="1"/>
  <c r="A17" i="1"/>
  <c r="C18" i="1" l="1"/>
  <c r="A18" i="1"/>
  <c r="B19" i="1"/>
  <c r="B20" i="1" l="1"/>
  <c r="C19" i="1"/>
  <c r="A19" i="1"/>
  <c r="B21" i="1" l="1"/>
  <c r="C20" i="1"/>
  <c r="A20" i="1"/>
  <c r="A21" i="1" l="1"/>
  <c r="B22" i="1"/>
  <c r="C21" i="1"/>
  <c r="B23" i="1" l="1"/>
  <c r="C22" i="1"/>
  <c r="A22" i="1"/>
  <c r="C23" i="1" l="1"/>
  <c r="A23" i="1"/>
  <c r="B24" i="1"/>
  <c r="A24" i="1" l="1"/>
  <c r="B25" i="1"/>
  <c r="C24" i="1"/>
  <c r="B26" i="1" l="1"/>
  <c r="C25" i="1"/>
  <c r="A25" i="1"/>
  <c r="C26" i="1" l="1"/>
  <c r="A26" i="1"/>
  <c r="B27" i="1"/>
  <c r="B28" i="1" l="1"/>
  <c r="C27" i="1"/>
  <c r="A27" i="1"/>
  <c r="B29" i="1" l="1"/>
  <c r="C28" i="1"/>
  <c r="A28" i="1"/>
  <c r="A29" i="1" l="1"/>
  <c r="B30" i="1"/>
  <c r="C29" i="1"/>
  <c r="B31" i="1" l="1"/>
  <c r="C30" i="1"/>
  <c r="A30" i="1"/>
  <c r="C31" i="1" l="1"/>
  <c r="A31" i="1"/>
</calcChain>
</file>

<file path=xl/sharedStrings.xml><?xml version="1.0" encoding="utf-8"?>
<sst xmlns="http://schemas.openxmlformats.org/spreadsheetml/2006/main" count="153" uniqueCount="96">
  <si>
    <t>月</t>
    <rPh sb="0" eb="1">
      <t>ツキ</t>
    </rPh>
    <phoneticPr fontId="1"/>
  </si>
  <si>
    <t>日</t>
    <rPh sb="0" eb="1">
      <t>ニチ</t>
    </rPh>
    <phoneticPr fontId="1"/>
  </si>
  <si>
    <t>曜</t>
    <rPh sb="0" eb="1">
      <t>ヨウ</t>
    </rPh>
    <phoneticPr fontId="1"/>
  </si>
  <si>
    <t>風呂掃除当番</t>
    <rPh sb="0" eb="2">
      <t>フロ</t>
    </rPh>
    <rPh sb="2" eb="4">
      <t>ソウジ</t>
    </rPh>
    <rPh sb="4" eb="6">
      <t>トウバン</t>
    </rPh>
    <phoneticPr fontId="1"/>
  </si>
  <si>
    <t>シャワー室掃除当番</t>
    <rPh sb="4" eb="5">
      <t>シツ</t>
    </rPh>
    <rPh sb="5" eb="7">
      <t>ソウジ</t>
    </rPh>
    <rPh sb="7" eb="9">
      <t>トウバン</t>
    </rPh>
    <phoneticPr fontId="1"/>
  </si>
  <si>
    <t>水</t>
  </si>
  <si>
    <t>木</t>
  </si>
  <si>
    <t>金</t>
  </si>
  <si>
    <t>土</t>
  </si>
  <si>
    <t>日</t>
  </si>
  <si>
    <t>・月曜日・水曜日・金曜日は浴槽掃除があります。</t>
    <phoneticPr fontId="1"/>
  </si>
  <si>
    <t>・掃除当番の時間は22:45からです。</t>
    <rPh sb="1" eb="3">
      <t>ソウジ</t>
    </rPh>
    <rPh sb="3" eb="5">
      <t>トウバン</t>
    </rPh>
    <rPh sb="6" eb="8">
      <t>ジカン</t>
    </rPh>
    <phoneticPr fontId="1"/>
  </si>
  <si>
    <t>・当番に出られない場合は、必ず誰かに代わってもらってください。</t>
    <rPh sb="1" eb="3">
      <t>トウバン</t>
    </rPh>
    <rPh sb="4" eb="5">
      <t>デ</t>
    </rPh>
    <rPh sb="9" eb="11">
      <t>バアイ</t>
    </rPh>
    <rPh sb="15" eb="16">
      <t>ダレ</t>
    </rPh>
    <rPh sb="18" eb="19">
      <t>カ</t>
    </rPh>
    <phoneticPr fontId="1"/>
  </si>
  <si>
    <t>ヘッダー</t>
    <phoneticPr fontId="1"/>
  </si>
  <si>
    <t>フッター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</si>
  <si>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</si>
  <si>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</si>
  <si>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風呂・シャワー室掃除当番表</t>
    <phoneticPr fontId="1"/>
  </si>
  <si>
    <t>・何か分からないことや間違い等があれば、ご連絡をおねがいします。</t>
    <rPh sb="1" eb="2">
      <t>ナニ</t>
    </rPh>
    <rPh sb="3" eb="4">
      <t>ワ</t>
    </rPh>
    <rPh sb="11" eb="13">
      <t>マチガ</t>
    </rPh>
    <rPh sb="14" eb="15">
      <t>トウ</t>
    </rPh>
    <rPh sb="21" eb="23">
      <t>レンラク</t>
    </rPh>
    <phoneticPr fontId="1"/>
  </si>
  <si>
    <t>副風呂委員長 51??号室 井出 健人</t>
    <rPh sb="0" eb="1">
      <t>フク</t>
    </rPh>
    <rPh sb="14" eb="16">
      <t>イデ</t>
    </rPh>
    <rPh sb="17" eb="19">
      <t>タケヒト</t>
    </rPh>
    <phoneticPr fontId="1"/>
  </si>
  <si>
    <t>各曜日の人数</t>
    <phoneticPr fontId="1"/>
  </si>
  <si>
    <t>月</t>
    <rPh sb="0" eb="1">
      <t>ゲツ</t>
    </rPh>
    <phoneticPr fontId="1"/>
  </si>
  <si>
    <t>火</t>
    <rPh sb="0" eb="1">
      <t>カ</t>
    </rPh>
    <phoneticPr fontId="1"/>
  </si>
  <si>
    <t>各学年の割合</t>
    <rPh sb="0" eb="1">
      <t>カク</t>
    </rPh>
    <rPh sb="1" eb="3">
      <t>ガクネン</t>
    </rPh>
    <rPh sb="4" eb="6">
      <t>ワリアイ</t>
    </rPh>
    <phoneticPr fontId="1"/>
  </si>
  <si>
    <t>日数 (MAX33日)</t>
    <rPh sb="0" eb="2">
      <t>ニッスウ</t>
    </rPh>
    <rPh sb="9" eb="10">
      <t>ニチ</t>
    </rPh>
    <phoneticPr fontId="1"/>
  </si>
  <si>
    <t>祝日・行事等</t>
    <rPh sb="0" eb="2">
      <t>シュクジツ</t>
    </rPh>
    <rPh sb="3" eb="6">
      <t>ギョウジトウ</t>
    </rPh>
    <phoneticPr fontId="1"/>
  </si>
  <si>
    <t>勤労感謝の日</t>
  </si>
  <si>
    <t>文化の日</t>
  </si>
  <si>
    <t>スポーツの日</t>
    <rPh sb="5" eb="6">
      <t>ヒ</t>
    </rPh>
    <phoneticPr fontId="4"/>
  </si>
  <si>
    <t>秋分の日</t>
  </si>
  <si>
    <t>敬老の日</t>
  </si>
  <si>
    <t>山の日</t>
  </si>
  <si>
    <t>海の日</t>
  </si>
  <si>
    <t>こどもの日</t>
  </si>
  <si>
    <t>みどりの日</t>
  </si>
  <si>
    <t>憲法記念日</t>
  </si>
  <si>
    <t>昭和の日</t>
  </si>
  <si>
    <t>春分の日</t>
  </si>
  <si>
    <t>天皇誕生日</t>
    <rPh sb="0" eb="2">
      <t>テンノウ</t>
    </rPh>
    <rPh sb="2" eb="5">
      <t>タンジョウビ</t>
    </rPh>
    <phoneticPr fontId="5"/>
  </si>
  <si>
    <t>建国記念の日</t>
  </si>
  <si>
    <t>成人の日</t>
  </si>
  <si>
    <t>元日</t>
  </si>
  <si>
    <t>山の日</t>
    <rPh sb="0" eb="1">
      <t>ヤマ</t>
    </rPh>
    <rPh sb="2" eb="3">
      <t>ヒ</t>
    </rPh>
    <phoneticPr fontId="4"/>
  </si>
  <si>
    <t>振替休日</t>
  </si>
  <si>
    <t>即位礼正殿の儀</t>
  </si>
  <si>
    <t>体育の日</t>
  </si>
  <si>
    <t>国民の休日</t>
  </si>
  <si>
    <t>天皇の即位の日</t>
  </si>
  <si>
    <t>国民の休日</t>
    <rPh sb="0" eb="2">
      <t>コクミン</t>
    </rPh>
    <phoneticPr fontId="6"/>
  </si>
  <si>
    <t>日付</t>
    <rPh sb="0" eb="2">
      <t>ヒヅケ</t>
    </rPh>
    <phoneticPr fontId="4"/>
  </si>
  <si>
    <t>祝日</t>
    <rPh sb="0" eb="2">
      <t>シュクジツ</t>
    </rPh>
    <phoneticPr fontId="4"/>
  </si>
  <si>
    <t>行事</t>
    <rPh sb="0" eb="2">
      <t>ギョウジ</t>
    </rPh>
    <phoneticPr fontId="4"/>
  </si>
  <si>
    <t>開寮</t>
    <rPh sb="0" eb="1">
      <t>ア</t>
    </rPh>
    <rPh sb="1" eb="2">
      <t>リョウ</t>
    </rPh>
    <phoneticPr fontId="1"/>
  </si>
  <si>
    <t>新入生入寮</t>
    <rPh sb="0" eb="3">
      <t>シンニュウセイ</t>
    </rPh>
    <rPh sb="3" eb="5">
      <t>ニュウリョウ</t>
    </rPh>
    <phoneticPr fontId="1"/>
  </si>
  <si>
    <t>入学式・始業式</t>
    <rPh sb="0" eb="3">
      <t>ニュウガクシキ</t>
    </rPh>
    <rPh sb="4" eb="7">
      <t>シギョウシキ</t>
    </rPh>
    <phoneticPr fontId="1"/>
  </si>
  <si>
    <t>特別編成授業</t>
    <rPh sb="0" eb="4">
      <t>トクベツヘンセイ</t>
    </rPh>
    <rPh sb="4" eb="6">
      <t>ジュギョウ</t>
    </rPh>
    <phoneticPr fontId="1"/>
  </si>
  <si>
    <t>新入生歓迎会</t>
    <rPh sb="0" eb="3">
      <t>シンニュウセイ</t>
    </rPh>
    <rPh sb="3" eb="6">
      <t>カンゲイカイ</t>
    </rPh>
    <phoneticPr fontId="1"/>
  </si>
  <si>
    <t>学生総会</t>
    <rPh sb="0" eb="2">
      <t>ガクセイ</t>
    </rPh>
    <rPh sb="2" eb="3">
      <t>ソウ</t>
    </rPh>
    <rPh sb="3" eb="4">
      <t>カイ</t>
    </rPh>
    <phoneticPr fontId="1"/>
  </si>
  <si>
    <t>クラスマッチ</t>
    <phoneticPr fontId="1"/>
  </si>
  <si>
    <t>防災訓練</t>
    <rPh sb="0" eb="4">
      <t>ボウサイクンレン</t>
    </rPh>
    <phoneticPr fontId="1"/>
  </si>
  <si>
    <t>前期中間試験開始</t>
    <rPh sb="0" eb="6">
      <t>ゼンキチュウカ</t>
    </rPh>
    <rPh sb="6" eb="8">
      <t>カイシ</t>
    </rPh>
    <phoneticPr fontId="1"/>
  </si>
  <si>
    <t>前期中間試験終了</t>
    <rPh sb="0" eb="6">
      <t>ゼンキ</t>
    </rPh>
    <rPh sb="6" eb="8">
      <t>シュウリョウ</t>
    </rPh>
    <phoneticPr fontId="1"/>
  </si>
  <si>
    <t>授業日</t>
    <rPh sb="0" eb="2">
      <t>ジュギョウ</t>
    </rPh>
    <rPh sb="2" eb="3">
      <t>ビ</t>
    </rPh>
    <phoneticPr fontId="1"/>
  </si>
  <si>
    <t>一日体験入学</t>
    <rPh sb="0" eb="2">
      <t>イチニチ</t>
    </rPh>
    <rPh sb="2" eb="6">
      <t>タイケンニュウガク</t>
    </rPh>
    <phoneticPr fontId="1"/>
  </si>
  <si>
    <t>前期期末試験開始</t>
    <rPh sb="0" eb="2">
      <t>ゼンキ</t>
    </rPh>
    <rPh sb="2" eb="4">
      <t>キマツ</t>
    </rPh>
    <rPh sb="4" eb="6">
      <t>シケン</t>
    </rPh>
    <rPh sb="6" eb="8">
      <t>カイシ</t>
    </rPh>
    <phoneticPr fontId="1"/>
  </si>
  <si>
    <t>前期期末試験終了</t>
    <rPh sb="0" eb="2">
      <t>ゼンキ</t>
    </rPh>
    <rPh sb="2" eb="4">
      <t>キマツ</t>
    </rPh>
    <rPh sb="4" eb="6">
      <t>シケン</t>
    </rPh>
    <rPh sb="6" eb="8">
      <t>シュウリョウ</t>
    </rPh>
    <phoneticPr fontId="1"/>
  </si>
  <si>
    <t>大掃除</t>
    <rPh sb="0" eb="3">
      <t>オオソウジ</t>
    </rPh>
    <phoneticPr fontId="1"/>
  </si>
  <si>
    <t>完全閉寮</t>
    <rPh sb="0" eb="2">
      <t>カンゼン</t>
    </rPh>
    <rPh sb="2" eb="3">
      <t>ヘイ</t>
    </rPh>
    <rPh sb="3" eb="4">
      <t>リョウ</t>
    </rPh>
    <phoneticPr fontId="1"/>
  </si>
  <si>
    <t>準開寮</t>
    <rPh sb="0" eb="1">
      <t>ジュン</t>
    </rPh>
    <rPh sb="1" eb="2">
      <t>カイ</t>
    </rPh>
    <rPh sb="2" eb="3">
      <t>リョウ</t>
    </rPh>
    <phoneticPr fontId="1"/>
  </si>
  <si>
    <t>開寮</t>
    <rPh sb="0" eb="1">
      <t>カイ</t>
    </rPh>
    <rPh sb="1" eb="2">
      <t>リョウ</t>
    </rPh>
    <phoneticPr fontId="1"/>
  </si>
  <si>
    <t>工嶺祭1日目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</si>
  <si>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工嶺祭2日目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</si>
  <si>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工嶺祭3日目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</si>
  <si>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工嶺祭片付け</t>
    <rPh sb="3" eb="5">
      <t>カタヅ</t>
    </rPh>
    <phoneticPr fontId="1"/>
  </si>
  <si>
    <t>2年研修旅行・4年企業見学</t>
    <rPh sb="1" eb="2">
      <t>ネン</t>
    </rPh>
    <rPh sb="2" eb="6">
      <t>ケンシュウリョコウ</t>
    </rPh>
    <rPh sb="8" eb="9">
      <t>ネン</t>
    </rPh>
    <rPh sb="9" eb="13">
      <t>キギョウケンガク</t>
    </rPh>
    <phoneticPr fontId="1"/>
  </si>
  <si>
    <t>3年企業見学</t>
    <rPh sb="1" eb="2">
      <t>ネン</t>
    </rPh>
    <rPh sb="2" eb="6">
      <t>キギョウ</t>
    </rPh>
    <phoneticPr fontId="1"/>
  </si>
  <si>
    <t>2, 3年スケート実習</t>
    <rPh sb="4" eb="5">
      <t>ネン</t>
    </rPh>
    <rPh sb="9" eb="11">
      <t>ジッシュウ</t>
    </rPh>
    <phoneticPr fontId="1"/>
  </si>
  <si>
    <t>1, 3年特別研修</t>
    <rPh sb="4" eb="5">
      <t>ネン</t>
    </rPh>
    <rPh sb="5" eb="9">
      <t>トクベツケンシュウ</t>
    </rPh>
    <phoneticPr fontId="1"/>
  </si>
  <si>
    <t>臨時休業</t>
    <rPh sb="0" eb="2">
      <t>リンジ</t>
    </rPh>
    <rPh sb="2" eb="4">
      <t>キュウギョウ</t>
    </rPh>
    <phoneticPr fontId="1"/>
  </si>
  <si>
    <t>後期中間試験開始</t>
    <rPh sb="0" eb="2">
      <t>コウキ</t>
    </rPh>
    <rPh sb="2" eb="6">
      <t>チュウカンシケン</t>
    </rPh>
    <rPh sb="6" eb="8">
      <t>カイシ</t>
    </rPh>
    <phoneticPr fontId="1"/>
  </si>
  <si>
    <t>後期中間試験終了</t>
    <rPh sb="0" eb="6">
      <t>コウキチュウ</t>
    </rPh>
    <rPh sb="6" eb="8">
      <t>シュウリョウ</t>
    </rPh>
    <phoneticPr fontId="1"/>
  </si>
  <si>
    <t>完全閉寮</t>
    <rPh sb="0" eb="4">
      <t>カンゼンヘ</t>
    </rPh>
    <phoneticPr fontId="1"/>
  </si>
  <si>
    <t>1年スキー実習</t>
    <rPh sb="1" eb="2">
      <t>ネン</t>
    </rPh>
    <rPh sb="5" eb="7">
      <t>ジッッシュウ</t>
    </rPh>
    <phoneticPr fontId="1"/>
  </si>
  <si>
    <t>学年末試験開始</t>
    <rPh sb="0" eb="3">
      <t>ガクネンマツ</t>
    </rPh>
    <rPh sb="3" eb="5">
      <t>シケン</t>
    </rPh>
    <rPh sb="5" eb="7">
      <t>カイシ</t>
    </rPh>
    <phoneticPr fontId="1"/>
  </si>
  <si>
    <t>学年末試験終了</t>
    <rPh sb="0" eb="3">
      <t>ガクネンマツ</t>
    </rPh>
    <rPh sb="3" eb="7">
      <t>シケンシュウリョウ</t>
    </rPh>
    <phoneticPr fontId="1"/>
  </si>
  <si>
    <t>入学試験 (推薦)</t>
    <rPh sb="0" eb="4">
      <t>ニュウガクシケン</t>
    </rPh>
    <rPh sb="6" eb="8">
      <t>スイセン</t>
    </rPh>
    <phoneticPr fontId="1"/>
  </si>
  <si>
    <t>入学試験 (学力)</t>
    <rPh sb="0" eb="4">
      <t>ニュウガクシケン</t>
    </rPh>
    <rPh sb="6" eb="8">
      <t>ガクリョク</t>
    </rPh>
    <phoneticPr fontId="1"/>
  </si>
  <si>
    <t>終業式</t>
    <rPh sb="0" eb="3">
      <t>シュウギョウシキ</t>
    </rPh>
    <phoneticPr fontId="1"/>
  </si>
  <si>
    <t>合格者説明会</t>
    <rPh sb="0" eb="3">
      <t>ゴウカクシャ</t>
    </rPh>
    <rPh sb="3" eb="6">
      <t>セツメイカイ</t>
    </rPh>
    <phoneticPr fontId="1"/>
  </si>
  <si>
    <t>卒業式</t>
    <rPh sb="0" eb="3">
      <t>ソツギョウシキ</t>
    </rPh>
    <phoneticPr fontId="1"/>
  </si>
  <si>
    <t>8888(8)</t>
    <phoneticPr fontId="1"/>
  </si>
  <si>
    <t>部屋番号</t>
    <rPh sb="0" eb="4">
      <t>ヘヤバンゴウ</t>
    </rPh>
    <phoneticPr fontId="1"/>
  </si>
  <si>
    <t>学年</t>
    <rPh sb="0" eb="2">
      <t>ガクネン</t>
    </rPh>
    <phoneticPr fontId="1"/>
  </si>
  <si>
    <t>人数</t>
    <rPh sb="0" eb="2">
      <t>ニンズウ</t>
    </rPh>
    <phoneticPr fontId="1"/>
  </si>
  <si>
    <t>風呂回数</t>
    <rPh sb="0" eb="2">
      <t>フロ</t>
    </rPh>
    <rPh sb="2" eb="4">
      <t>カイスウ</t>
    </rPh>
    <phoneticPr fontId="1"/>
  </si>
  <si>
    <t>シャワー回数</t>
    <rPh sb="4" eb="6">
      <t>カイスウ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</si>
</sst>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aaa"/>
    <numFmt numFmtId="178" formatCode="d"/>
    <numFmt numFmtId="179" formatCode="0\ &quot;日&quot;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theme="3"/>
      <name val="Arial"/>
      <family val="2"/>
    </font>
    <font>
      <sz val="6"/>
      <name val="Meiryo UI"/>
      <family val="2"/>
      <charset val="128"/>
    </font>
    <font>
      <sz val="12"/>
      <color theme="0"/>
      <name val="メイリオ"/>
      <family val="3"/>
      <charset val="128"/>
    </font>
    <font>
      <sz val="11"/>
      <color rgb="FF9C650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9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 shrinkToFit="1"/>
    </xf>
    <xf numFmtId="0" fontId="2" fillId="0" borderId="0" xfId="0" applyFont="1" applyFill="1" applyBorder="1" applyAlignment="1" applyProtection="1">
      <alignment vertical="center" shrinkToFit="1"/>
    </xf>
    <xf numFmtId="176" fontId="2" fillId="0" borderId="2" xfId="0" applyNumberFormat="1" applyFont="1" applyFill="1" applyBorder="1" applyAlignment="1" applyProtection="1">
      <alignment horizontal="center" vertical="center" shrinkToFit="1"/>
    </xf>
    <xf numFmtId="178" fontId="2" fillId="0" borderId="2" xfId="0" applyNumberFormat="1" applyFont="1" applyFill="1" applyBorder="1" applyAlignment="1" applyProtection="1">
      <alignment horizontal="center" vertical="center" shrinkToFit="1"/>
    </xf>
    <xf numFmtId="177" fontId="2" fillId="0" borderId="6" xfId="0" applyNumberFormat="1" applyFont="1" applyFill="1" applyBorder="1" applyAlignment="1" applyProtection="1">
      <alignment horizontal="center" vertical="center" shrinkToFit="1"/>
    </xf>
    <xf numFmtId="0" fontId="2" fillId="0" borderId="8" xfId="0" applyFont="1" applyFill="1" applyBorder="1" applyAlignment="1" applyProtection="1">
      <alignment horizontal="center" vertical="center" shrinkToFit="1"/>
    </xf>
    <xf numFmtId="0" fontId="2" fillId="0" borderId="2" xfId="0" applyFont="1" applyFill="1" applyBorder="1" applyAlignment="1" applyProtection="1">
      <alignment horizontal="center" vertical="center" shrinkToFit="1"/>
    </xf>
    <xf numFmtId="0" fontId="2" fillId="0" borderId="4" xfId="0" applyFont="1" applyFill="1" applyBorder="1" applyAlignment="1" applyProtection="1">
      <alignment horizontal="center" vertical="center" shrinkToFit="1"/>
    </xf>
    <xf numFmtId="0" fontId="2" fillId="0" borderId="1" xfId="0" applyFont="1" applyFill="1" applyBorder="1" applyAlignment="1" applyProtection="1">
      <alignment horizontal="center" vertical="center" shrinkToFit="1"/>
    </xf>
    <xf numFmtId="176" fontId="2" fillId="0" borderId="1" xfId="0" applyNumberFormat="1" applyFont="1" applyFill="1" applyBorder="1" applyAlignment="1" applyProtection="1">
      <alignment horizontal="center" vertical="center" shrinkToFit="1"/>
    </xf>
    <xf numFmtId="178" fontId="2" fillId="0" borderId="1" xfId="0" applyNumberFormat="1" applyFont="1" applyFill="1" applyBorder="1" applyAlignment="1" applyProtection="1">
      <alignment horizontal="center" vertical="center" shrinkToFit="1"/>
    </xf>
    <xf numFmtId="177" fontId="2" fillId="0" borderId="11" xfId="0" applyNumberFormat="1" applyFont="1" applyFill="1" applyBorder="1" applyAlignment="1" applyProtection="1">
      <alignment horizontal="center" vertical="center" shrinkToFit="1"/>
    </xf>
    <xf numFmtId="0" fontId="2" fillId="0" borderId="7" xfId="0" applyFont="1" applyFill="1" applyBorder="1" applyAlignment="1" applyProtection="1">
      <alignment horizontal="center" vertical="center" shrinkToFit="1"/>
    </xf>
    <xf numFmtId="0" fontId="2" fillId="0" borderId="3" xfId="0" applyFont="1" applyFill="1" applyBorder="1" applyAlignment="1" applyProtection="1">
      <alignment horizontal="center" vertical="center" shrinkToFit="1"/>
    </xf>
    <xf numFmtId="0" fontId="0" fillId="0" borderId="9" xfId="0" applyBorder="1" applyAlignment="1">
      <alignment vertical="center"/>
    </xf>
    <xf numFmtId="0" fontId="2" fillId="0" borderId="0" xfId="0" applyFont="1" applyFill="1" applyBorder="1" applyAlignment="1" applyProtection="1">
      <alignment vertical="center" shrinkToFit="1"/>
    </xf>
    <xf numFmtId="0" fontId="2" fillId="0" borderId="7" xfId="0" applyFont="1" applyFill="1" applyBorder="1" applyAlignment="1" applyProtection="1">
      <alignment horizontal="center" vertical="center" shrinkToFit="1"/>
    </xf>
    <xf numFmtId="0" fontId="2" fillId="0" borderId="3" xfId="0" applyFont="1" applyFill="1" applyBorder="1" applyAlignment="1" applyProtection="1">
      <alignment horizontal="center" vertical="center" shrinkToFit="1"/>
    </xf>
    <xf numFmtId="0" fontId="2" fillId="0" borderId="10" xfId="0" applyFont="1" applyFill="1" applyBorder="1" applyAlignment="1" applyProtection="1">
      <alignment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14" fontId="0" fillId="0" borderId="1" xfId="0" applyNumberFormat="1" applyBorder="1" applyAlignment="1">
      <alignment horizontal="left" vertical="center" shrinkToFit="1"/>
    </xf>
    <xf numFmtId="0" fontId="0" fillId="0" borderId="1" xfId="0" applyBorder="1" applyAlignment="1">
      <alignment horizontal="left" vertical="center" shrinkToFit="1"/>
    </xf>
    <xf numFmtId="0" fontId="0" fillId="0" borderId="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2" fillId="0" borderId="8" xfId="0" applyFont="1" applyFill="1" applyBorder="1" applyAlignment="1" applyProtection="1">
      <alignment horizontal="left" vertical="center" shrinkToFit="1"/>
    </xf>
    <xf numFmtId="0" fontId="2" fillId="0" borderId="4" xfId="0" applyFont="1" applyFill="1" applyBorder="1" applyAlignment="1" applyProtection="1">
      <alignment horizontal="left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14" fontId="0" fillId="4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</cellXfs>
  <cellStyles count="2">
    <cellStyle name="標準" xfId="0" builtinId="0"/>
    <cellStyle name="標準 2" xfId="1" xr:uid="{165248D0-9E91-449C-9BEF-BC9CD5CFDAEC}"/>
  </cellStyles>
  <dxfs count="5">
    <dxf>
      <font>
        <color auto="1"/>
      </font>
      <fill>
        <patternFill patternType="solid">
          <fgColor auto="1"/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border>
        <left/>
        <right/>
        <bottom/>
        <vertical/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3CA2-B7F4-414C-A415-883B758BB911}">
  <sheetPr codeName="Sheet1"/>
  <dimension ref="A1:J7"/>
  <sheetViews>
    <sheetView tabSelected="1" workbookViewId="0"/>
  </sheetViews>
  <sheetFormatPr defaultRowHeight="18.75" x14ac:dyDescent="0.4"/>
  <cols>
    <col min="1" max="1" width="16" bestFit="1" customWidth="1"/>
    <col min="2" max="2" width="34.5" customWidth="1"/>
    <col min="3" max="10" width="4.625" customWidth="1"/>
  </cols>
  <sheetData>
    <row r="1" spans="1:10" x14ac:dyDescent="0.4">
      <c r="A1" s="5" t="s">
        <v>15</v>
      </c>
      <c r="B1" s="2">
        <v>43556</v>
      </c>
      <c r="D1" s="21" t="s">
        <v>23</v>
      </c>
      <c r="E1" s="21"/>
      <c r="F1" s="21"/>
      <c r="G1" s="21"/>
      <c r="H1" s="21"/>
    </row>
    <row r="2" spans="1:10" x14ac:dyDescent="0.4">
      <c r="A2" s="5" t="s">
        <v>16</v>
      </c>
      <c r="B2" s="2">
        <v>43585</v>
      </c>
      <c r="D2" s="6">
        <v>1</v>
      </c>
      <c r="E2" s="6">
        <v>2</v>
      </c>
      <c r="F2" s="6">
        <v>3</v>
      </c>
      <c r="G2" s="6">
        <v>4</v>
      </c>
      <c r="H2" s="6">
        <v>5</v>
      </c>
    </row>
    <row r="3" spans="1:10" x14ac:dyDescent="0.4">
      <c r="A3" s="5" t="s">
        <v>24</v>
      </c>
      <c r="B3" s="4">
        <f>B2-B1+1</f>
        <v>30</v>
      </c>
      <c r="D3" s="1">
        <v>1</v>
      </c>
      <c r="E3" s="1">
        <v>1</v>
      </c>
      <c r="F3" s="1">
        <v>0</v>
      </c>
      <c r="G3" s="1">
        <v>0</v>
      </c>
      <c r="H3" s="1">
        <v>0</v>
      </c>
    </row>
    <row r="4" spans="1:10" x14ac:dyDescent="0.4">
      <c r="A4" s="5" t="s">
        <v>13</v>
      </c>
      <c r="B4" s="3" t="s">
        <v>17</v>
      </c>
    </row>
    <row r="5" spans="1:10" x14ac:dyDescent="0.4">
      <c r="A5" s="5" t="s">
        <v>14</v>
      </c>
      <c r="B5" s="3" t="s">
        <v>19</v>
      </c>
      <c r="D5" s="21" t="s">
        <v>20</v>
      </c>
      <c r="E5" s="21"/>
      <c r="F5" s="21"/>
      <c r="G5" s="21"/>
      <c r="H5" s="21"/>
      <c r="I5" s="21"/>
      <c r="J5" s="21"/>
    </row>
    <row r="6" spans="1:10" x14ac:dyDescent="0.4">
      <c r="D6" s="6" t="s">
        <v>21</v>
      </c>
      <c r="E6" s="6" t="s">
        <v>22</v>
      </c>
      <c r="F6" s="6" t="s">
        <v>5</v>
      </c>
      <c r="G6" s="6" t="s">
        <v>6</v>
      </c>
      <c r="H6" s="6" t="s">
        <v>7</v>
      </c>
      <c r="I6" s="6" t="s">
        <v>8</v>
      </c>
      <c r="J6" s="6" t="s">
        <v>9</v>
      </c>
    </row>
    <row r="7" spans="1:10" x14ac:dyDescent="0.4">
      <c r="D7" s="1">
        <v>6</v>
      </c>
      <c r="E7" s="1">
        <v>4</v>
      </c>
      <c r="F7" s="1">
        <v>6</v>
      </c>
      <c r="G7" s="1">
        <v>4</v>
      </c>
      <c r="H7" s="1">
        <v>6</v>
      </c>
      <c r="I7" s="1">
        <v>4</v>
      </c>
      <c r="J7" s="1">
        <v>4</v>
      </c>
    </row>
  </sheetData>
  <mergeCells count="2">
    <mergeCell ref="D1:H1"/>
    <mergeCell ref="D5:J5"/>
  </mergeCells>
  <phoneticPr fontId="1"/>
  <conditionalFormatting sqref="B3">
    <cfRule type="cellIs" dxfId="4" priority="1" operator="greaterThan">
      <formula>33</formula>
    </cfRule>
  </conditionalFormatting>
  <pageMargins left="0.7" right="0.7" top="0.75" bottom="0.75" header="0.3" footer="0.3"/>
  <pageSetup paperSize="9" orientation="portrait" r:id="rId1"/>
  <headerFooter>
    <oddHeader>&amp;C&amp;16=</oddHeader>
    <oddFooter>&amp;R&amp;12風呂委員長 5115号室 神宮 樹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8481-E9AF-4AA2-9D3F-4AAC58BE7117}">
  <sheetPr codeName="Sheet2"/>
  <dimension ref="A1:J38"/>
  <sheetViews>
    <sheetView view="pageLayout" zoomScaleNormal="100" workbookViewId="0"/>
  </sheetViews>
  <sheetFormatPr defaultRowHeight="19.5" x14ac:dyDescent="0.4"/>
  <cols>
    <col min="1" max="3" width="4" style="8" customWidth="1"/>
    <col min="4" max="7" width="6.875" style="8" customWidth="1"/>
    <col min="8" max="9" width="9.375" style="8" customWidth="1"/>
    <col min="10" max="10" width="22.375" style="8" customWidth="1"/>
    <col min="11" max="16384" width="9" style="8"/>
  </cols>
  <sheetData>
    <row r="1" spans="1:10" ht="20.25" thickBot="1" x14ac:dyDescent="0.45">
      <c r="A1" s="20" t="s">
        <v>0</v>
      </c>
      <c r="B1" s="20" t="s">
        <v>1</v>
      </c>
      <c r="C1" s="7" t="s">
        <v>2</v>
      </c>
      <c r="D1" s="23" t="s">
        <v>3</v>
      </c>
      <c r="E1" s="24"/>
      <c r="F1" s="24"/>
      <c r="G1" s="24"/>
      <c r="H1" s="23" t="s">
        <v>4</v>
      </c>
      <c r="I1" s="24"/>
      <c r="J1" s="19" t="s">
        <v>25</v>
      </c>
    </row>
    <row r="2" spans="1:10" ht="20.25" thickTop="1" x14ac:dyDescent="0.4">
      <c r="A2" s="9">
        <f>B2</f>
        <v>43556</v>
      </c>
      <c r="B2" s="10">
        <f>Start</f>
        <v>43556</v>
      </c>
      <c r="C2" s="11">
        <f>B2</f>
        <v>43556</v>
      </c>
      <c r="D2" s="12">
        <v>8888</v>
      </c>
      <c r="E2" s="13"/>
      <c r="F2" s="13"/>
      <c r="G2" s="13"/>
      <c r="H2" s="12" t="s">
        <v>90</v>
      </c>
      <c r="I2" s="13"/>
      <c r="J2" s="32" t="str">
        <f>IF(B2="","",IF(COUNTIF(Holiday!$D:$D,B2),INDEX(Holiday!E:E,MATCH(B2,Holiday!D:D)),IF(COUNTIF(Holiday!$A:$A,B2),INDEX(Holiday!B:B,MATCH(B2,Holiday!A:A)),"")))</f>
        <v/>
      </c>
    </row>
    <row r="3" spans="1:10" x14ac:dyDescent="0.4">
      <c r="A3" s="16">
        <f>B3</f>
        <v>43557</v>
      </c>
      <c r="B3" s="17">
        <f>IF(ROW()-ROW(B$2)+1&lt;=Days,B2+1,"")</f>
        <v>43557</v>
      </c>
      <c r="C3" s="18">
        <f>B3</f>
        <v>43557</v>
      </c>
      <c r="D3" s="14"/>
      <c r="E3" s="15"/>
      <c r="F3" s="15"/>
      <c r="G3" s="15"/>
      <c r="H3" s="14"/>
      <c r="I3" s="15"/>
      <c r="J3" s="33" t="str">
        <f>IF(B3="","",IF(COUNTIF(Holiday!$D:$D,B3),INDEX(Holiday!E:E,MATCH(B3,Holiday!D:D)),IF(COUNTIF(Holiday!$A:$A,B3),INDEX(Holiday!B:B,MATCH(B3,Holiday!A:A)),"")))</f>
        <v>入学式・始業式</v>
      </c>
    </row>
    <row r="4" spans="1:10" x14ac:dyDescent="0.4">
      <c r="A4" s="16">
        <f t="shared" ref="A4:A34" si="0">B4</f>
        <v>43558</v>
      </c>
      <c r="B4" s="17">
        <f>IF(ROW()-ROW(B$2)+1&lt;=Days,B3+1,"")</f>
        <v>43558</v>
      </c>
      <c r="C4" s="18">
        <f t="shared" ref="C4:C34" si="1">B4</f>
        <v>43558</v>
      </c>
      <c r="D4" s="14"/>
      <c r="E4" s="15"/>
      <c r="F4" s="15"/>
      <c r="G4" s="15"/>
      <c r="H4" s="14"/>
      <c r="I4" s="15"/>
      <c r="J4" s="33" t="str">
        <f>IF(B4="","",IF(COUNTIF(Holiday!$D:$D,B4),INDEX(Holiday!E:E,MATCH(B4,Holiday!D:D)),IF(COUNTIF(Holiday!$A:$A,B4),INDEX(Holiday!B:B,MATCH(B4,Holiday!A:A)),"")))</f>
        <v>特別編成授業</v>
      </c>
    </row>
    <row r="5" spans="1:10" x14ac:dyDescent="0.4">
      <c r="A5" s="16">
        <f t="shared" si="0"/>
        <v>43559</v>
      </c>
      <c r="B5" s="17">
        <f>IF(ROW()-ROW(B$2)+1&lt;=Days,B4+1,"")</f>
        <v>43559</v>
      </c>
      <c r="C5" s="18">
        <f t="shared" si="1"/>
        <v>43559</v>
      </c>
      <c r="D5" s="14"/>
      <c r="E5" s="15"/>
      <c r="F5" s="15"/>
      <c r="G5" s="15"/>
      <c r="H5" s="14"/>
      <c r="I5" s="15"/>
      <c r="J5" s="33" t="str">
        <f>IF(B5="","",IF(COUNTIF(Holiday!$D:$D,B5),INDEX(Holiday!E:E,MATCH(B5,Holiday!D:D)),IF(COUNTIF(Holiday!$A:$A,B5),INDEX(Holiday!B:B,MATCH(B5,Holiday!A:A)),"")))</f>
        <v/>
      </c>
    </row>
    <row r="6" spans="1:10" x14ac:dyDescent="0.4">
      <c r="A6" s="16">
        <f t="shared" si="0"/>
        <v>43560</v>
      </c>
      <c r="B6" s="17">
        <f>IF(ROW()-ROW(B$2)+1&lt;=Days,B5+1,"")</f>
        <v>43560</v>
      </c>
      <c r="C6" s="18">
        <f t="shared" si="1"/>
        <v>43560</v>
      </c>
      <c r="D6" s="14"/>
      <c r="E6" s="15"/>
      <c r="F6" s="15"/>
      <c r="G6" s="15"/>
      <c r="H6" s="14"/>
      <c r="I6" s="15"/>
      <c r="J6" s="33" t="str">
        <f>IF(B6="","",IF(COUNTIF(Holiday!$D:$D,B6),INDEX(Holiday!E:E,MATCH(B6,Holiday!D:D)),IF(COUNTIF(Holiday!$A:$A,B6),INDEX(Holiday!B:B,MATCH(B6,Holiday!A:A)),"")))</f>
        <v/>
      </c>
    </row>
    <row r="7" spans="1:10" x14ac:dyDescent="0.4">
      <c r="A7" s="16">
        <f t="shared" si="0"/>
        <v>43561</v>
      </c>
      <c r="B7" s="17">
        <f>IF(ROW()-ROW(B$2)+1&lt;=Days,B6+1,"")</f>
        <v>43561</v>
      </c>
      <c r="C7" s="18">
        <f t="shared" si="1"/>
        <v>43561</v>
      </c>
      <c r="D7" s="14"/>
      <c r="E7" s="15"/>
      <c r="F7" s="15"/>
      <c r="G7" s="15"/>
      <c r="H7" s="14"/>
      <c r="I7" s="15"/>
      <c r="J7" s="33" t="str">
        <f>IF(B7="","",IF(COUNTIF(Holiday!$D:$D,B7),INDEX(Holiday!E:E,MATCH(B7,Holiday!D:D)),IF(COUNTIF(Holiday!$A:$A,B7),INDEX(Holiday!B:B,MATCH(B7,Holiday!A:A)),"")))</f>
        <v/>
      </c>
    </row>
    <row r="8" spans="1:10" x14ac:dyDescent="0.4">
      <c r="A8" s="16">
        <f t="shared" si="0"/>
        <v>43562</v>
      </c>
      <c r="B8" s="17">
        <f>IF(ROW()-ROW(B$2)+1&lt;=Days,B7+1,"")</f>
        <v>43562</v>
      </c>
      <c r="C8" s="18">
        <f t="shared" si="1"/>
        <v>43562</v>
      </c>
      <c r="D8" s="14"/>
      <c r="E8" s="15"/>
      <c r="F8" s="15"/>
      <c r="G8" s="15"/>
      <c r="H8" s="14"/>
      <c r="I8" s="15"/>
      <c r="J8" s="33" t="str">
        <f>IF(B8="","",IF(COUNTIF(Holiday!$D:$D,B8),INDEX(Holiday!E:E,MATCH(B8,Holiday!D:D)),IF(COUNTIF(Holiday!$A:$A,B8),INDEX(Holiday!B:B,MATCH(B8,Holiday!A:A)),"")))</f>
        <v/>
      </c>
    </row>
    <row r="9" spans="1:10" x14ac:dyDescent="0.4">
      <c r="A9" s="16">
        <f t="shared" si="0"/>
        <v>43563</v>
      </c>
      <c r="B9" s="17">
        <f>IF(ROW()-ROW(B$2)+1&lt;=Days,B8+1,"")</f>
        <v>43563</v>
      </c>
      <c r="C9" s="18">
        <f t="shared" si="1"/>
        <v>43563</v>
      </c>
      <c r="D9" s="14"/>
      <c r="E9" s="15"/>
      <c r="F9" s="15"/>
      <c r="G9" s="15"/>
      <c r="H9" s="14"/>
      <c r="I9" s="15"/>
      <c r="J9" s="33" t="str">
        <f>IF(B9="","",IF(COUNTIF(Holiday!$D:$D,B9),INDEX(Holiday!E:E,MATCH(B9,Holiday!D:D)),IF(COUNTIF(Holiday!$A:$A,B9),INDEX(Holiday!B:B,MATCH(B9,Holiday!A:A)),"")))</f>
        <v/>
      </c>
    </row>
    <row r="10" spans="1:10" x14ac:dyDescent="0.4">
      <c r="A10" s="16">
        <f t="shared" si="0"/>
        <v>43564</v>
      </c>
      <c r="B10" s="17">
        <f>IF(ROW()-ROW(B$2)+1&lt;=Days,B9+1,"")</f>
        <v>43564</v>
      </c>
      <c r="C10" s="18">
        <f t="shared" si="1"/>
        <v>43564</v>
      </c>
      <c r="D10" s="14"/>
      <c r="E10" s="15"/>
      <c r="F10" s="15"/>
      <c r="G10" s="15"/>
      <c r="H10" s="14"/>
      <c r="I10" s="15"/>
      <c r="J10" s="33" t="str">
        <f>IF(B10="","",IF(COUNTIF(Holiday!$D:$D,B10),INDEX(Holiday!E:E,MATCH(B10,Holiday!D:D)),IF(COUNTIF(Holiday!$A:$A,B10),INDEX(Holiday!B:B,MATCH(B10,Holiday!A:A)),"")))</f>
        <v/>
      </c>
    </row>
    <row r="11" spans="1:10" x14ac:dyDescent="0.4">
      <c r="A11" s="16">
        <f t="shared" si="0"/>
        <v>43565</v>
      </c>
      <c r="B11" s="17">
        <f>IF(ROW()-ROW(B$2)+1&lt;=Days,B10+1,"")</f>
        <v>43565</v>
      </c>
      <c r="C11" s="18">
        <f t="shared" si="1"/>
        <v>43565</v>
      </c>
      <c r="D11" s="14"/>
      <c r="E11" s="15"/>
      <c r="F11" s="15"/>
      <c r="G11" s="15"/>
      <c r="H11" s="14"/>
      <c r="I11" s="15"/>
      <c r="J11" s="33" t="str">
        <f>IF(B11="","",IF(COUNTIF(Holiday!$D:$D,B11),INDEX(Holiday!E:E,MATCH(B11,Holiday!D:D)),IF(COUNTIF(Holiday!$A:$A,B11),INDEX(Holiday!B:B,MATCH(B11,Holiday!A:A)),"")))</f>
        <v>新入生歓迎会</v>
      </c>
    </row>
    <row r="12" spans="1:10" x14ac:dyDescent="0.4">
      <c r="A12" s="16">
        <f t="shared" si="0"/>
        <v>43566</v>
      </c>
      <c r="B12" s="17">
        <f>IF(ROW()-ROW(B$2)+1&lt;=Days,B11+1,"")</f>
        <v>43566</v>
      </c>
      <c r="C12" s="18">
        <f t="shared" si="1"/>
        <v>43566</v>
      </c>
      <c r="D12" s="14"/>
      <c r="E12" s="15"/>
      <c r="F12" s="15"/>
      <c r="G12" s="15"/>
      <c r="H12" s="14"/>
      <c r="I12" s="15"/>
      <c r="J12" s="33" t="str">
        <f>IF(B12="","",IF(COUNTIF(Holiday!$D:$D,B12),INDEX(Holiday!E:E,MATCH(B12,Holiday!D:D)),IF(COUNTIF(Holiday!$A:$A,B12),INDEX(Holiday!B:B,MATCH(B12,Holiday!A:A)),"")))</f>
        <v/>
      </c>
    </row>
    <row r="13" spans="1:10" x14ac:dyDescent="0.4">
      <c r="A13" s="16">
        <f t="shared" si="0"/>
        <v>43567</v>
      </c>
      <c r="B13" s="17">
        <f>IF(ROW()-ROW(B$2)+1&lt;=Days,B12+1,"")</f>
        <v>43567</v>
      </c>
      <c r="C13" s="18">
        <f t="shared" si="1"/>
        <v>43567</v>
      </c>
      <c r="D13" s="14"/>
      <c r="E13" s="15"/>
      <c r="F13" s="15"/>
      <c r="G13" s="15"/>
      <c r="H13" s="14"/>
      <c r="I13" s="15"/>
      <c r="J13" s="33" t="str">
        <f>IF(B13="","",IF(COUNTIF(Holiday!$D:$D,B13),INDEX(Holiday!E:E,MATCH(B13,Holiday!D:D)),IF(COUNTIF(Holiday!$A:$A,B13),INDEX(Holiday!B:B,MATCH(B13,Holiday!A:A)),"")))</f>
        <v/>
      </c>
    </row>
    <row r="14" spans="1:10" x14ac:dyDescent="0.4">
      <c r="A14" s="16">
        <f t="shared" si="0"/>
        <v>43568</v>
      </c>
      <c r="B14" s="17">
        <f>IF(ROW()-ROW(B$2)+1&lt;=Days,B13+1,"")</f>
        <v>43568</v>
      </c>
      <c r="C14" s="18">
        <f t="shared" si="1"/>
        <v>43568</v>
      </c>
      <c r="D14" s="14"/>
      <c r="E14" s="15"/>
      <c r="F14" s="15"/>
      <c r="G14" s="15"/>
      <c r="H14" s="14"/>
      <c r="I14" s="15"/>
      <c r="J14" s="33" t="str">
        <f>IF(B14="","",IF(COUNTIF(Holiday!$D:$D,B14),INDEX(Holiday!E:E,MATCH(B14,Holiday!D:D)),IF(COUNTIF(Holiday!$A:$A,B14),INDEX(Holiday!B:B,MATCH(B14,Holiday!A:A)),"")))</f>
        <v/>
      </c>
    </row>
    <row r="15" spans="1:10" x14ac:dyDescent="0.4">
      <c r="A15" s="16">
        <f t="shared" si="0"/>
        <v>43569</v>
      </c>
      <c r="B15" s="17">
        <f>IF(ROW()-ROW(B$2)+1&lt;=Days,B14+1,"")</f>
        <v>43569</v>
      </c>
      <c r="C15" s="18">
        <f t="shared" si="1"/>
        <v>43569</v>
      </c>
      <c r="D15" s="14"/>
      <c r="E15" s="15"/>
      <c r="F15" s="15"/>
      <c r="G15" s="15"/>
      <c r="H15" s="14"/>
      <c r="I15" s="15"/>
      <c r="J15" s="33" t="str">
        <f>IF(B15="","",IF(COUNTIF(Holiday!$D:$D,B15),INDEX(Holiday!E:E,MATCH(B15,Holiday!D:D)),IF(COUNTIF(Holiday!$A:$A,B15),INDEX(Holiday!B:B,MATCH(B15,Holiday!A:A)),"")))</f>
        <v/>
      </c>
    </row>
    <row r="16" spans="1:10" x14ac:dyDescent="0.4">
      <c r="A16" s="16">
        <f t="shared" si="0"/>
        <v>43570</v>
      </c>
      <c r="B16" s="17">
        <f>IF(ROW()-ROW(B$2)+1&lt;=Days,B15+1,"")</f>
        <v>43570</v>
      </c>
      <c r="C16" s="18">
        <f t="shared" si="1"/>
        <v>43570</v>
      </c>
      <c r="D16" s="14"/>
      <c r="E16" s="15"/>
      <c r="F16" s="15"/>
      <c r="G16" s="15"/>
      <c r="H16" s="14"/>
      <c r="I16" s="15"/>
      <c r="J16" s="33" t="str">
        <f>IF(B16="","",IF(COUNTIF(Holiday!$D:$D,B16),INDEX(Holiday!E:E,MATCH(B16,Holiday!D:D)),IF(COUNTIF(Holiday!$A:$A,B16),INDEX(Holiday!B:B,MATCH(B16,Holiday!A:A)),"")))</f>
        <v/>
      </c>
    </row>
    <row r="17" spans="1:10" x14ac:dyDescent="0.4">
      <c r="A17" s="16">
        <f t="shared" si="0"/>
        <v>43571</v>
      </c>
      <c r="B17" s="17">
        <f>IF(ROW()-ROW(B$2)+1&lt;=Days,B16+1,"")</f>
        <v>43571</v>
      </c>
      <c r="C17" s="18">
        <f t="shared" si="1"/>
        <v>43571</v>
      </c>
      <c r="D17" s="14"/>
      <c r="E17" s="15"/>
      <c r="F17" s="15"/>
      <c r="G17" s="15"/>
      <c r="H17" s="14"/>
      <c r="I17" s="15"/>
      <c r="J17" s="33" t="str">
        <f>IF(B17="","",IF(COUNTIF(Holiday!$D:$D,B17),INDEX(Holiday!E:E,MATCH(B17,Holiday!D:D)),IF(COUNTIF(Holiday!$A:$A,B17),INDEX(Holiday!B:B,MATCH(B17,Holiday!A:A)),"")))</f>
        <v/>
      </c>
    </row>
    <row r="18" spans="1:10" x14ac:dyDescent="0.4">
      <c r="A18" s="16">
        <f t="shared" si="0"/>
        <v>43572</v>
      </c>
      <c r="B18" s="17">
        <f>IF(ROW()-ROW(B$2)+1&lt;=Days,B17+1,"")</f>
        <v>43572</v>
      </c>
      <c r="C18" s="18">
        <f t="shared" si="1"/>
        <v>43572</v>
      </c>
      <c r="D18" s="14"/>
      <c r="E18" s="15"/>
      <c r="F18" s="15"/>
      <c r="G18" s="15"/>
      <c r="H18" s="14"/>
      <c r="I18" s="15"/>
      <c r="J18" s="33" t="str">
        <f>IF(B18="","",IF(COUNTIF(Holiday!$D:$D,B18),INDEX(Holiday!E:E,MATCH(B18,Holiday!D:D)),IF(COUNTIF(Holiday!$A:$A,B18),INDEX(Holiday!B:B,MATCH(B18,Holiday!A:A)),"")))</f>
        <v/>
      </c>
    </row>
    <row r="19" spans="1:10" x14ac:dyDescent="0.4">
      <c r="A19" s="16">
        <f t="shared" si="0"/>
        <v>43573</v>
      </c>
      <c r="B19" s="17">
        <f>IF(ROW()-ROW(B$2)+1&lt;=Days,B18+1,"")</f>
        <v>43573</v>
      </c>
      <c r="C19" s="18">
        <f t="shared" si="1"/>
        <v>43573</v>
      </c>
      <c r="D19" s="14"/>
      <c r="E19" s="15"/>
      <c r="F19" s="15"/>
      <c r="G19" s="15"/>
      <c r="H19" s="14"/>
      <c r="I19" s="15"/>
      <c r="J19" s="33" t="str">
        <f>IF(B19="","",IF(COUNTIF(Holiday!$D:$D,B19),INDEX(Holiday!E:E,MATCH(B19,Holiday!D:D)),IF(COUNTIF(Holiday!$A:$A,B19),INDEX(Holiday!B:B,MATCH(B19,Holiday!A:A)),"")))</f>
        <v/>
      </c>
    </row>
    <row r="20" spans="1:10" x14ac:dyDescent="0.4">
      <c r="A20" s="16">
        <f t="shared" si="0"/>
        <v>43574</v>
      </c>
      <c r="B20" s="17">
        <f>IF(ROW()-ROW(B$2)+1&lt;=Days,B19+1,"")</f>
        <v>43574</v>
      </c>
      <c r="C20" s="18">
        <f t="shared" si="1"/>
        <v>43574</v>
      </c>
      <c r="D20" s="14"/>
      <c r="E20" s="15"/>
      <c r="F20" s="15"/>
      <c r="G20" s="15"/>
      <c r="H20" s="14"/>
      <c r="I20" s="15"/>
      <c r="J20" s="33" t="str">
        <f>IF(B20="","",IF(COUNTIF(Holiday!$D:$D,B20),INDEX(Holiday!E:E,MATCH(B20,Holiday!D:D)),IF(COUNTIF(Holiday!$A:$A,B20),INDEX(Holiday!B:B,MATCH(B20,Holiday!A:A)),"")))</f>
        <v>1, 3年特別研修</v>
      </c>
    </row>
    <row r="21" spans="1:10" x14ac:dyDescent="0.4">
      <c r="A21" s="16">
        <f t="shared" si="0"/>
        <v>43575</v>
      </c>
      <c r="B21" s="17">
        <f>IF(ROW()-ROW(B$2)+1&lt;=Days,B20+1,"")</f>
        <v>43575</v>
      </c>
      <c r="C21" s="18">
        <f t="shared" si="1"/>
        <v>43575</v>
      </c>
      <c r="D21" s="14"/>
      <c r="E21" s="15"/>
      <c r="F21" s="15"/>
      <c r="G21" s="15"/>
      <c r="H21" s="14"/>
      <c r="I21" s="15"/>
      <c r="J21" s="33" t="str">
        <f>IF(B21="","",IF(COUNTIF(Holiday!$D:$D,B21),INDEX(Holiday!E:E,MATCH(B21,Holiday!D:D)),IF(COUNTIF(Holiday!$A:$A,B21),INDEX(Holiday!B:B,MATCH(B21,Holiday!A:A)),"")))</f>
        <v/>
      </c>
    </row>
    <row r="22" spans="1:10" x14ac:dyDescent="0.4">
      <c r="A22" s="16">
        <f t="shared" si="0"/>
        <v>43576</v>
      </c>
      <c r="B22" s="17">
        <f>IF(ROW()-ROW(B$2)+1&lt;=Days,B21+1,"")</f>
        <v>43576</v>
      </c>
      <c r="C22" s="18">
        <f t="shared" si="1"/>
        <v>43576</v>
      </c>
      <c r="D22" s="14"/>
      <c r="E22" s="15"/>
      <c r="F22" s="15"/>
      <c r="G22" s="15"/>
      <c r="H22" s="14"/>
      <c r="I22" s="15"/>
      <c r="J22" s="33" t="str">
        <f>IF(B22="","",IF(COUNTIF(Holiday!$D:$D,B22),INDEX(Holiday!E:E,MATCH(B22,Holiday!D:D)),IF(COUNTIF(Holiday!$A:$A,B22),INDEX(Holiday!B:B,MATCH(B22,Holiday!A:A)),"")))</f>
        <v/>
      </c>
    </row>
    <row r="23" spans="1:10" x14ac:dyDescent="0.4">
      <c r="A23" s="16">
        <f t="shared" si="0"/>
        <v>43577</v>
      </c>
      <c r="B23" s="17">
        <f>IF(ROW()-ROW(B$2)+1&lt;=Days,B22+1,"")</f>
        <v>43577</v>
      </c>
      <c r="C23" s="18">
        <f t="shared" si="1"/>
        <v>43577</v>
      </c>
      <c r="D23" s="14"/>
      <c r="E23" s="15"/>
      <c r="F23" s="15"/>
      <c r="G23" s="15"/>
      <c r="H23" s="14"/>
      <c r="I23" s="15"/>
      <c r="J23" s="33" t="str">
        <f>IF(B23="","",IF(COUNTIF(Holiday!$D:$D,B23),INDEX(Holiday!E:E,MATCH(B23,Holiday!D:D)),IF(COUNTIF(Holiday!$A:$A,B23),INDEX(Holiday!B:B,MATCH(B23,Holiday!A:A)),"")))</f>
        <v/>
      </c>
    </row>
    <row r="24" spans="1:10" x14ac:dyDescent="0.4">
      <c r="A24" s="16">
        <f t="shared" si="0"/>
        <v>43578</v>
      </c>
      <c r="B24" s="17">
        <f>IF(ROW()-ROW(B$2)+1&lt;=Days,B23+1,"")</f>
        <v>43578</v>
      </c>
      <c r="C24" s="18">
        <f t="shared" si="1"/>
        <v>43578</v>
      </c>
      <c r="D24" s="14"/>
      <c r="E24" s="15"/>
      <c r="F24" s="15"/>
      <c r="G24" s="15"/>
      <c r="H24" s="14"/>
      <c r="I24" s="15"/>
      <c r="J24" s="33" t="str">
        <f>IF(B24="","",IF(COUNTIF(Holiday!$D:$D,B24),INDEX(Holiday!E:E,MATCH(B24,Holiday!D:D)),IF(COUNTIF(Holiday!$A:$A,B24),INDEX(Holiday!B:B,MATCH(B24,Holiday!A:A)),"")))</f>
        <v/>
      </c>
    </row>
    <row r="25" spans="1:10" x14ac:dyDescent="0.4">
      <c r="A25" s="16">
        <f t="shared" si="0"/>
        <v>43579</v>
      </c>
      <c r="B25" s="17">
        <f>IF(ROW()-ROW(B$2)+1&lt;=Days,B24+1,"")</f>
        <v>43579</v>
      </c>
      <c r="C25" s="18">
        <f t="shared" si="1"/>
        <v>43579</v>
      </c>
      <c r="D25" s="14"/>
      <c r="E25" s="15"/>
      <c r="F25" s="15"/>
      <c r="G25" s="15"/>
      <c r="H25" s="14"/>
      <c r="I25" s="15"/>
      <c r="J25" s="33" t="str">
        <f>IF(B25="","",IF(COUNTIF(Holiday!$D:$D,B25),INDEX(Holiday!E:E,MATCH(B25,Holiday!D:D)),IF(COUNTIF(Holiday!$A:$A,B25),INDEX(Holiday!B:B,MATCH(B25,Holiday!A:A)),"")))</f>
        <v>学生総会</v>
      </c>
    </row>
    <row r="26" spans="1:10" x14ac:dyDescent="0.4">
      <c r="A26" s="16">
        <f t="shared" si="0"/>
        <v>43580</v>
      </c>
      <c r="B26" s="17">
        <f>IF(ROW()-ROW(B$2)+1&lt;=Days,B25+1,"")</f>
        <v>43580</v>
      </c>
      <c r="C26" s="18">
        <f t="shared" si="1"/>
        <v>43580</v>
      </c>
      <c r="D26" s="14"/>
      <c r="E26" s="15"/>
      <c r="F26" s="15"/>
      <c r="G26" s="15"/>
      <c r="H26" s="14"/>
      <c r="I26" s="15"/>
      <c r="J26" s="33" t="str">
        <f>IF(B26="","",IF(COUNTIF(Holiday!$D:$D,B26),INDEX(Holiday!E:E,MATCH(B26,Holiday!D:D)),IF(COUNTIF(Holiday!$A:$A,B26),INDEX(Holiday!B:B,MATCH(B26,Holiday!A:A)),"")))</f>
        <v/>
      </c>
    </row>
    <row r="27" spans="1:10" x14ac:dyDescent="0.4">
      <c r="A27" s="16">
        <f t="shared" si="0"/>
        <v>43581</v>
      </c>
      <c r="B27" s="17">
        <f>IF(ROW()-ROW(B$2)+1&lt;=Days,B26+1,"")</f>
        <v>43581</v>
      </c>
      <c r="C27" s="18">
        <f t="shared" si="1"/>
        <v>43581</v>
      </c>
      <c r="D27" s="14"/>
      <c r="E27" s="15"/>
      <c r="F27" s="15"/>
      <c r="G27" s="15"/>
      <c r="H27" s="14"/>
      <c r="I27" s="15"/>
      <c r="J27" s="33" t="str">
        <f>IF(B27="","",IF(COUNTIF(Holiday!$D:$D,B27),INDEX(Holiday!E:E,MATCH(B27,Holiday!D:D)),IF(COUNTIF(Holiday!$A:$A,B27),INDEX(Holiday!B:B,MATCH(B27,Holiday!A:A)),"")))</f>
        <v/>
      </c>
    </row>
    <row r="28" spans="1:10" x14ac:dyDescent="0.4">
      <c r="A28" s="16">
        <f t="shared" si="0"/>
        <v>43582</v>
      </c>
      <c r="B28" s="17">
        <f>IF(ROW()-ROW(B$2)+1&lt;=Days,B27+1,"")</f>
        <v>43582</v>
      </c>
      <c r="C28" s="18">
        <f t="shared" si="1"/>
        <v>43582</v>
      </c>
      <c r="D28" s="14"/>
      <c r="E28" s="15"/>
      <c r="F28" s="15"/>
      <c r="G28" s="15"/>
      <c r="H28" s="14"/>
      <c r="I28" s="15"/>
      <c r="J28" s="33" t="str">
        <f>IF(B28="","",IF(COUNTIF(Holiday!$D:$D,B28),INDEX(Holiday!E:E,MATCH(B28,Holiday!D:D)),IF(COUNTIF(Holiday!$A:$A,B28),INDEX(Holiday!B:B,MATCH(B28,Holiday!A:A)),"")))</f>
        <v>授業日</v>
      </c>
    </row>
    <row r="29" spans="1:10" x14ac:dyDescent="0.4">
      <c r="A29" s="16">
        <f t="shared" si="0"/>
        <v>43583</v>
      </c>
      <c r="B29" s="17">
        <f>IF(ROW()-ROW(B$2)+1&lt;=Days,B28+1,"")</f>
        <v>43583</v>
      </c>
      <c r="C29" s="18">
        <f t="shared" si="1"/>
        <v>43583</v>
      </c>
      <c r="D29" s="14"/>
      <c r="E29" s="15"/>
      <c r="F29" s="15"/>
      <c r="G29" s="15"/>
      <c r="H29" s="14"/>
      <c r="I29" s="15"/>
      <c r="J29" s="33" t="str">
        <f>IF(B29="","",IF(COUNTIF(Holiday!$D:$D,B29),INDEX(Holiday!E:E,MATCH(B29,Holiday!D:D)),IF(COUNTIF(Holiday!$A:$A,B29),INDEX(Holiday!B:B,MATCH(B29,Holiday!A:A)),"")))</f>
        <v/>
      </c>
    </row>
    <row r="30" spans="1:10" x14ac:dyDescent="0.4">
      <c r="A30" s="16">
        <f t="shared" si="0"/>
        <v>43584</v>
      </c>
      <c r="B30" s="17">
        <f>IF(ROW()-ROW(B$2)+1&lt;=Days,B29+1,"")</f>
        <v>43584</v>
      </c>
      <c r="C30" s="18">
        <f t="shared" si="1"/>
        <v>43584</v>
      </c>
      <c r="D30" s="14"/>
      <c r="E30" s="15"/>
      <c r="F30" s="15"/>
      <c r="G30" s="15"/>
      <c r="H30" s="14"/>
      <c r="I30" s="15"/>
      <c r="J30" s="33" t="str">
        <f>IF(B30="","",IF(COUNTIF(Holiday!$D:$D,B30),INDEX(Holiday!E:E,MATCH(B30,Holiday!D:D)),IF(COUNTIF(Holiday!$A:$A,B30),INDEX(Holiday!B:B,MATCH(B30,Holiday!A:A)),"")))</f>
        <v>昭和の日</v>
      </c>
    </row>
    <row r="31" spans="1:10" x14ac:dyDescent="0.4">
      <c r="A31" s="16">
        <f t="shared" si="0"/>
        <v>43585</v>
      </c>
      <c r="B31" s="17">
        <f>IF(ROW()-ROW(B$2)+1&lt;=Days,B30+1,"")</f>
        <v>43585</v>
      </c>
      <c r="C31" s="18">
        <f t="shared" si="1"/>
        <v>43585</v>
      </c>
      <c r="D31" s="14"/>
      <c r="E31" s="15"/>
      <c r="F31" s="15"/>
      <c r="G31" s="15"/>
      <c r="H31" s="14"/>
      <c r="I31" s="15"/>
      <c r="J31" s="33" t="str">
        <f>IF(B31="","",IF(COUNTIF(Holiday!$D:$D,B31),INDEX(Holiday!E:E,MATCH(B31,Holiday!D:D)),IF(COUNTIF(Holiday!$A:$A,B31),INDEX(Holiday!B:B,MATCH(B31,Holiday!A:A)),"")))</f>
        <v>国民の休日</v>
      </c>
    </row>
    <row r="32" spans="1:10" x14ac:dyDescent="0.4">
      <c r="A32" s="16" t="str">
        <f t="shared" si="0"/>
        <v/>
      </c>
      <c r="B32" s="17" t="str">
        <f>IF(ROW()-ROW(B$2)+1&lt;=Days,B31+1,"")</f>
        <v/>
      </c>
      <c r="C32" s="18" t="str">
        <f t="shared" si="1"/>
        <v/>
      </c>
      <c r="D32" s="14"/>
      <c r="E32" s="15"/>
      <c r="F32" s="15"/>
      <c r="G32" s="15"/>
      <c r="H32" s="14"/>
      <c r="I32" s="15"/>
      <c r="J32" s="33" t="str">
        <f>IF(B32="","",IF(COUNTIF(Holiday!$D:$D,B32),INDEX(Holiday!E:E,MATCH(B32,Holiday!D:D)),IF(COUNTIF(Holiday!$A:$A,B32),INDEX(Holiday!B:B,MATCH(B32,Holiday!A:A)),"")))</f>
        <v/>
      </c>
    </row>
    <row r="33" spans="1:10" x14ac:dyDescent="0.4">
      <c r="A33" s="16" t="str">
        <f t="shared" si="0"/>
        <v/>
      </c>
      <c r="B33" s="17" t="str">
        <f>IF(ROW()-ROW(B$2)+1&lt;=Days,B32+1,"")</f>
        <v/>
      </c>
      <c r="C33" s="18" t="str">
        <f t="shared" si="1"/>
        <v/>
      </c>
      <c r="D33" s="14"/>
      <c r="E33" s="15"/>
      <c r="F33" s="15"/>
      <c r="G33" s="15"/>
      <c r="H33" s="14"/>
      <c r="I33" s="15"/>
      <c r="J33" s="33" t="str">
        <f>IF(B33="","",IF(COUNTIF(Holiday!$D:$D,B33),INDEX(Holiday!E:E,MATCH(B33,Holiday!D:D)),IF(COUNTIF(Holiday!$A:$A,B33),INDEX(Holiday!B:B,MATCH(B33,Holiday!A:A)),"")))</f>
        <v/>
      </c>
    </row>
    <row r="34" spans="1:10" x14ac:dyDescent="0.4">
      <c r="A34" s="16" t="str">
        <f t="shared" si="0"/>
        <v/>
      </c>
      <c r="B34" s="17" t="str">
        <f>IF(ROW()-ROW(B$2)+1&lt;=Days,B33+1,"")</f>
        <v/>
      </c>
      <c r="C34" s="18" t="str">
        <f t="shared" si="1"/>
        <v/>
      </c>
      <c r="D34" s="14"/>
      <c r="E34" s="15"/>
      <c r="F34" s="15"/>
      <c r="G34" s="15"/>
      <c r="H34" s="14"/>
      <c r="I34" s="15"/>
      <c r="J34" s="33" t="str">
        <f>IF(B34="","",IF(COUNTIF(Holiday!$D:$D,B34),INDEX(Holiday!E:E,MATCH(B34,Holiday!D:D)),IF(COUNTIF(Holiday!$A:$A,B34),INDEX(Holiday!B:B,MATCH(B34,Holiday!A:A)),"")))</f>
        <v/>
      </c>
    </row>
    <row r="35" spans="1:10" x14ac:dyDescent="0.4">
      <c r="A35" s="25" t="s">
        <v>11</v>
      </c>
      <c r="B35" s="25"/>
      <c r="C35" s="25"/>
      <c r="D35" s="25"/>
      <c r="E35" s="25"/>
      <c r="F35" s="25"/>
      <c r="G35" s="25"/>
      <c r="H35" s="25"/>
      <c r="I35" s="25"/>
      <c r="J35" s="25"/>
    </row>
    <row r="36" spans="1:10" x14ac:dyDescent="0.4">
      <c r="A36" s="22" t="s">
        <v>10</v>
      </c>
      <c r="B36" s="22"/>
      <c r="C36" s="22"/>
      <c r="D36" s="22"/>
      <c r="E36" s="22"/>
      <c r="F36" s="22"/>
      <c r="G36" s="22"/>
      <c r="H36" s="22"/>
      <c r="I36" s="22"/>
      <c r="J36" s="22"/>
    </row>
    <row r="37" spans="1:10" x14ac:dyDescent="0.4">
      <c r="A37" s="22" t="s">
        <v>12</v>
      </c>
      <c r="B37" s="22"/>
      <c r="C37" s="22"/>
      <c r="D37" s="22"/>
      <c r="E37" s="22"/>
      <c r="F37" s="22"/>
      <c r="G37" s="22"/>
      <c r="H37" s="22"/>
      <c r="I37" s="22"/>
      <c r="J37" s="22"/>
    </row>
    <row r="38" spans="1:10" x14ac:dyDescent="0.4">
      <c r="A38" s="22" t="s">
        <v>18</v>
      </c>
      <c r="B38" s="22"/>
      <c r="C38" s="22"/>
      <c r="D38" s="22"/>
      <c r="E38" s="22"/>
      <c r="F38" s="22"/>
      <c r="G38" s="22"/>
      <c r="H38" s="22"/>
      <c r="I38" s="22"/>
      <c r="J38" s="22"/>
    </row>
  </sheetData>
  <sheetProtection formatCells="0" formatColumns="0" formatRows="0"/>
  <mergeCells count="6">
    <mergeCell ref="A38:J38"/>
    <mergeCell ref="D1:G1"/>
    <mergeCell ref="H1:I1"/>
    <mergeCell ref="A35:J35"/>
    <mergeCell ref="A36:J36"/>
    <mergeCell ref="A37:J37"/>
  </mergeCells>
  <phoneticPr fontId="1"/>
  <conditionalFormatting sqref="A2:J34">
    <cfRule type="expression" dxfId="3" priority="1">
      <formula>$B2=""</formula>
    </cfRule>
  </conditionalFormatting>
  <conditionalFormatting sqref="B2:J34">
    <cfRule type="expression" dxfId="1" priority="3">
      <formula>AND($B2&lt;&gt;"",TEXT($B2,"aaa")="日")</formula>
    </cfRule>
    <cfRule type="expression" dxfId="0" priority="4">
      <formula>AND($B2&lt;&gt;"",TEXT($B2,"aaa")="土")</formula>
    </cfRule>
  </conditionalFormatting>
  <pageMargins left="0.7" right="0.7" top="0.75" bottom="0.75" header="0.3" footer="0.3"/>
  <pageSetup paperSize="9" fitToHeight="0" orientation="portrait" horizontalDpi="4294967293" r:id="rId1"/>
  <headerFooter>
    <oddHeader>&amp;C&amp;16&amp;""4月 風呂・シャワー室掃除当番表</oddHeader>
    <oddFooter>&amp;R&amp;12副風呂委員長 51??号室 井出 健人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1B4DC46-B888-4804-BE14-3F7256F9B4A6}">
            <xm:f>AND($B2&lt;&gt;"",COUNTIF(Holiday!$A:$A,$B2)&gt;0)</xm:f>
            <x14:dxf>
              <fill>
                <patternFill>
                  <bgColor theme="5" tint="0.79998168889431442"/>
                </patternFill>
              </fill>
            </x14:dxf>
          </x14:cfRule>
          <xm:sqref>B2:J34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A0B8F-AE68-4206-84E5-093439E8DAD1}">
  <sheetPr codeName="Sheet3"/>
  <dimension ref="A1:E343"/>
  <sheetViews>
    <sheetView workbookViewId="0"/>
  </sheetViews>
  <sheetFormatPr defaultRowHeight="18.75" x14ac:dyDescent="0.4"/>
  <cols>
    <col min="1" max="1" width="9.625" style="31" customWidth="1"/>
    <col min="2" max="3" width="5.875" style="31" customWidth="1"/>
    <col min="4" max="5" width="9.625" style="31" customWidth="1"/>
    <col min="6" max="16384" width="9" style="27"/>
  </cols>
  <sheetData>
    <row r="1" spans="1:5" x14ac:dyDescent="0.4">
      <c r="A1" s="26" t="s">
        <v>91</v>
      </c>
      <c r="B1" s="26" t="s">
        <v>92</v>
      </c>
      <c r="C1" s="26" t="s">
        <v>93</v>
      </c>
      <c r="D1" s="26" t="s">
        <v>94</v>
      </c>
      <c r="E1" s="26" t="s">
        <v>95</v>
      </c>
    </row>
    <row r="2" spans="1:5" x14ac:dyDescent="0.4">
      <c r="A2" s="30">
        <v>1101</v>
      </c>
      <c r="B2" s="31">
        <v>3</v>
      </c>
      <c r="C2" s="31">
        <v>1</v>
      </c>
      <c r="D2" s="31">
        <v>0</v>
      </c>
      <c r="E2" s="31">
        <v>0</v>
      </c>
    </row>
    <row r="3" spans="1:5" x14ac:dyDescent="0.4">
      <c r="A3" s="30">
        <v>1102</v>
      </c>
      <c r="B3" s="31">
        <v>2</v>
      </c>
      <c r="C3" s="31">
        <v>1</v>
      </c>
      <c r="D3" s="31">
        <v>0</v>
      </c>
      <c r="E3" s="31">
        <v>0</v>
      </c>
    </row>
    <row r="4" spans="1:5" x14ac:dyDescent="0.4">
      <c r="A4" s="31">
        <v>1103</v>
      </c>
      <c r="B4" s="31">
        <v>2</v>
      </c>
      <c r="C4" s="31">
        <v>1</v>
      </c>
      <c r="D4" s="31">
        <v>0</v>
      </c>
      <c r="E4" s="31">
        <v>0</v>
      </c>
    </row>
    <row r="5" spans="1:5" x14ac:dyDescent="0.4">
      <c r="A5" s="30">
        <v>1104</v>
      </c>
      <c r="B5" s="31">
        <v>2</v>
      </c>
      <c r="C5" s="31">
        <v>1</v>
      </c>
      <c r="D5" s="31">
        <v>0</v>
      </c>
      <c r="E5" s="31">
        <v>0</v>
      </c>
    </row>
    <row r="6" spans="1:5" x14ac:dyDescent="0.4">
      <c r="A6" s="30">
        <v>1105</v>
      </c>
      <c r="B6" s="31">
        <v>3</v>
      </c>
      <c r="C6" s="31">
        <v>1</v>
      </c>
      <c r="D6" s="31">
        <v>0</v>
      </c>
      <c r="E6" s="31">
        <v>0</v>
      </c>
    </row>
    <row r="7" spans="1:5" x14ac:dyDescent="0.4">
      <c r="A7" s="30">
        <v>1106</v>
      </c>
      <c r="B7" s="31">
        <v>1</v>
      </c>
      <c r="C7" s="31">
        <v>1</v>
      </c>
      <c r="D7" s="31">
        <v>0</v>
      </c>
      <c r="E7" s="31">
        <v>0</v>
      </c>
    </row>
    <row r="8" spans="1:5" x14ac:dyDescent="0.4">
      <c r="A8" s="30">
        <v>1107</v>
      </c>
      <c r="B8" s="31">
        <v>2</v>
      </c>
      <c r="C8" s="31">
        <v>1</v>
      </c>
      <c r="D8" s="31">
        <v>0</v>
      </c>
      <c r="E8" s="31">
        <v>0</v>
      </c>
    </row>
    <row r="9" spans="1:5" x14ac:dyDescent="0.4">
      <c r="A9" s="30">
        <v>1108</v>
      </c>
      <c r="B9" s="31">
        <v>2</v>
      </c>
      <c r="C9" s="31">
        <v>1</v>
      </c>
      <c r="D9" s="31">
        <v>0</v>
      </c>
      <c r="E9" s="31">
        <v>0</v>
      </c>
    </row>
    <row r="10" spans="1:5" x14ac:dyDescent="0.4">
      <c r="A10" s="30">
        <v>1109</v>
      </c>
      <c r="B10" s="31">
        <v>3</v>
      </c>
      <c r="C10" s="31">
        <v>1</v>
      </c>
      <c r="D10" s="31">
        <v>0</v>
      </c>
      <c r="E10" s="31">
        <v>0</v>
      </c>
    </row>
    <row r="11" spans="1:5" x14ac:dyDescent="0.4">
      <c r="A11" s="30">
        <v>1110</v>
      </c>
      <c r="B11" s="31">
        <v>3</v>
      </c>
      <c r="C11" s="31">
        <v>1</v>
      </c>
      <c r="D11" s="31">
        <v>0</v>
      </c>
      <c r="E11" s="31">
        <v>0</v>
      </c>
    </row>
    <row r="12" spans="1:5" x14ac:dyDescent="0.4">
      <c r="A12" s="30">
        <v>1111</v>
      </c>
      <c r="B12" s="31">
        <v>2</v>
      </c>
      <c r="C12" s="31">
        <v>1</v>
      </c>
      <c r="D12" s="31">
        <v>0</v>
      </c>
      <c r="E12" s="31">
        <v>0</v>
      </c>
    </row>
    <row r="13" spans="1:5" x14ac:dyDescent="0.4">
      <c r="A13" s="30">
        <v>1112</v>
      </c>
      <c r="B13" s="31">
        <v>3</v>
      </c>
      <c r="C13" s="31">
        <v>1</v>
      </c>
      <c r="D13" s="31">
        <v>0</v>
      </c>
      <c r="E13" s="31">
        <v>0</v>
      </c>
    </row>
    <row r="14" spans="1:5" x14ac:dyDescent="0.4">
      <c r="A14" s="30">
        <v>1113</v>
      </c>
      <c r="B14" s="31">
        <v>3</v>
      </c>
      <c r="C14" s="31">
        <v>1</v>
      </c>
      <c r="D14" s="31">
        <v>0</v>
      </c>
      <c r="E14" s="31">
        <v>0</v>
      </c>
    </row>
    <row r="15" spans="1:5" x14ac:dyDescent="0.4">
      <c r="A15" s="30">
        <v>1114</v>
      </c>
      <c r="B15" s="31">
        <v>2</v>
      </c>
      <c r="C15" s="31">
        <v>1</v>
      </c>
      <c r="D15" s="31">
        <v>0</v>
      </c>
      <c r="E15" s="31">
        <v>0</v>
      </c>
    </row>
    <row r="16" spans="1:5" x14ac:dyDescent="0.4">
      <c r="A16" s="30">
        <v>1115</v>
      </c>
      <c r="B16" s="31">
        <v>1</v>
      </c>
      <c r="C16" s="31">
        <v>2</v>
      </c>
      <c r="D16" s="31">
        <v>0</v>
      </c>
      <c r="E16" s="31">
        <v>0</v>
      </c>
    </row>
    <row r="17" spans="1:5" x14ac:dyDescent="0.4">
      <c r="A17" s="30">
        <v>1116</v>
      </c>
      <c r="B17" s="31">
        <v>1</v>
      </c>
      <c r="C17" s="31">
        <v>2</v>
      </c>
      <c r="D17" s="31">
        <v>0</v>
      </c>
      <c r="E17" s="31">
        <v>0</v>
      </c>
    </row>
    <row r="18" spans="1:5" x14ac:dyDescent="0.4">
      <c r="A18" s="30">
        <v>1117</v>
      </c>
      <c r="B18" s="31">
        <v>1</v>
      </c>
      <c r="C18" s="31">
        <v>2</v>
      </c>
      <c r="D18" s="31">
        <v>0</v>
      </c>
      <c r="E18" s="31">
        <v>0</v>
      </c>
    </row>
    <row r="19" spans="1:5" x14ac:dyDescent="0.4">
      <c r="A19" s="30">
        <v>1118</v>
      </c>
      <c r="B19" s="31">
        <v>3</v>
      </c>
      <c r="C19" s="31">
        <v>1</v>
      </c>
      <c r="D19" s="31">
        <v>0</v>
      </c>
      <c r="E19" s="31">
        <v>0</v>
      </c>
    </row>
    <row r="20" spans="1:5" x14ac:dyDescent="0.4">
      <c r="A20" s="30">
        <v>1119</v>
      </c>
      <c r="B20" s="31">
        <v>2</v>
      </c>
      <c r="C20" s="31">
        <v>1</v>
      </c>
      <c r="D20" s="31">
        <v>0</v>
      </c>
      <c r="E20" s="31">
        <v>0</v>
      </c>
    </row>
    <row r="21" spans="1:5" x14ac:dyDescent="0.4">
      <c r="A21" s="30">
        <v>1120</v>
      </c>
      <c r="B21" s="31">
        <v>2</v>
      </c>
      <c r="C21" s="31">
        <v>1</v>
      </c>
      <c r="D21" s="31">
        <v>0</v>
      </c>
      <c r="E21" s="31">
        <v>0</v>
      </c>
    </row>
    <row r="22" spans="1:5" x14ac:dyDescent="0.4">
      <c r="A22" s="30">
        <v>1121</v>
      </c>
      <c r="B22" s="31">
        <v>3</v>
      </c>
      <c r="C22" s="31">
        <v>1</v>
      </c>
      <c r="D22" s="31">
        <v>0</v>
      </c>
      <c r="E22" s="31">
        <v>0</v>
      </c>
    </row>
    <row r="23" spans="1:5" x14ac:dyDescent="0.4">
      <c r="A23" s="30">
        <v>1122</v>
      </c>
      <c r="B23" s="31">
        <v>2</v>
      </c>
      <c r="C23" s="31">
        <v>1</v>
      </c>
      <c r="D23" s="31">
        <v>0</v>
      </c>
      <c r="E23" s="31">
        <v>0</v>
      </c>
    </row>
    <row r="24" spans="1:5" x14ac:dyDescent="0.4">
      <c r="A24" s="30">
        <v>1123</v>
      </c>
      <c r="B24" s="31">
        <v>3</v>
      </c>
      <c r="C24" s="31">
        <v>1</v>
      </c>
      <c r="D24" s="31">
        <v>0</v>
      </c>
      <c r="E24" s="31">
        <v>0</v>
      </c>
    </row>
    <row r="25" spans="1:5" x14ac:dyDescent="0.4">
      <c r="A25" s="30">
        <v>1124</v>
      </c>
      <c r="B25" s="31">
        <v>2</v>
      </c>
      <c r="C25" s="31">
        <v>1</v>
      </c>
      <c r="D25" s="31">
        <v>0</v>
      </c>
      <c r="E25" s="31">
        <v>0</v>
      </c>
    </row>
    <row r="26" spans="1:5" x14ac:dyDescent="0.4">
      <c r="A26" s="30">
        <v>1125</v>
      </c>
      <c r="B26" s="31">
        <v>3</v>
      </c>
      <c r="C26" s="31">
        <v>1</v>
      </c>
      <c r="D26" s="31">
        <v>0</v>
      </c>
      <c r="E26" s="31">
        <v>0</v>
      </c>
    </row>
    <row r="27" spans="1:5" x14ac:dyDescent="0.4">
      <c r="A27" s="30">
        <v>1201</v>
      </c>
      <c r="B27" s="31">
        <v>3</v>
      </c>
      <c r="C27" s="31">
        <v>1</v>
      </c>
      <c r="D27" s="31">
        <v>0</v>
      </c>
      <c r="E27" s="31">
        <v>0</v>
      </c>
    </row>
    <row r="28" spans="1:5" x14ac:dyDescent="0.4">
      <c r="A28" s="30">
        <v>1202</v>
      </c>
      <c r="B28" s="31">
        <v>4</v>
      </c>
      <c r="C28" s="31">
        <v>1</v>
      </c>
      <c r="D28" s="31">
        <v>0</v>
      </c>
      <c r="E28" s="31">
        <v>0</v>
      </c>
    </row>
    <row r="29" spans="1:5" x14ac:dyDescent="0.4">
      <c r="A29" s="30">
        <v>1203</v>
      </c>
      <c r="B29" s="31">
        <v>2</v>
      </c>
      <c r="C29" s="31">
        <v>1</v>
      </c>
      <c r="D29" s="31">
        <v>0</v>
      </c>
      <c r="E29" s="31">
        <v>0</v>
      </c>
    </row>
    <row r="30" spans="1:5" x14ac:dyDescent="0.4">
      <c r="A30" s="30">
        <v>1204</v>
      </c>
      <c r="B30" s="31">
        <v>4</v>
      </c>
      <c r="C30" s="31">
        <v>1</v>
      </c>
      <c r="D30" s="31">
        <v>0</v>
      </c>
      <c r="E30" s="31">
        <v>0</v>
      </c>
    </row>
    <row r="31" spans="1:5" x14ac:dyDescent="0.4">
      <c r="A31" s="30">
        <v>1205</v>
      </c>
      <c r="B31" s="31">
        <v>3</v>
      </c>
      <c r="C31" s="31">
        <v>1</v>
      </c>
      <c r="D31" s="31">
        <v>0</v>
      </c>
      <c r="E31" s="31">
        <v>0</v>
      </c>
    </row>
    <row r="32" spans="1:5" x14ac:dyDescent="0.4">
      <c r="A32" s="30">
        <v>1206</v>
      </c>
      <c r="B32" s="31">
        <v>4</v>
      </c>
      <c r="C32" s="31">
        <v>1</v>
      </c>
      <c r="D32" s="31">
        <v>0</v>
      </c>
      <c r="E32" s="31">
        <v>0</v>
      </c>
    </row>
    <row r="33" spans="1:5" x14ac:dyDescent="0.4">
      <c r="A33" s="30">
        <v>1207</v>
      </c>
      <c r="B33" s="31">
        <v>3</v>
      </c>
      <c r="C33" s="31">
        <v>1</v>
      </c>
      <c r="D33" s="31">
        <v>0</v>
      </c>
      <c r="E33" s="31">
        <v>0</v>
      </c>
    </row>
    <row r="34" spans="1:5" x14ac:dyDescent="0.4">
      <c r="A34" s="30">
        <v>1208</v>
      </c>
      <c r="B34" s="31">
        <v>4</v>
      </c>
      <c r="C34" s="31">
        <v>1</v>
      </c>
      <c r="D34" s="31">
        <v>0</v>
      </c>
      <c r="E34" s="31">
        <v>0</v>
      </c>
    </row>
    <row r="35" spans="1:5" x14ac:dyDescent="0.4">
      <c r="A35" s="30">
        <v>1209</v>
      </c>
      <c r="B35" s="31">
        <v>2</v>
      </c>
      <c r="C35" s="31">
        <v>1</v>
      </c>
      <c r="D35" s="31">
        <v>0</v>
      </c>
      <c r="E35" s="31">
        <v>0</v>
      </c>
    </row>
    <row r="36" spans="1:5" x14ac:dyDescent="0.4">
      <c r="A36" s="30">
        <v>1210</v>
      </c>
      <c r="B36" s="31">
        <v>3</v>
      </c>
      <c r="C36" s="31">
        <v>1</v>
      </c>
      <c r="D36" s="31">
        <v>0</v>
      </c>
      <c r="E36" s="31">
        <v>0</v>
      </c>
    </row>
    <row r="37" spans="1:5" x14ac:dyDescent="0.4">
      <c r="A37" s="30">
        <v>1211</v>
      </c>
      <c r="B37" s="31">
        <v>4</v>
      </c>
      <c r="C37" s="31">
        <v>1</v>
      </c>
      <c r="D37" s="31">
        <v>0</v>
      </c>
      <c r="E37" s="31">
        <v>0</v>
      </c>
    </row>
    <row r="38" spans="1:5" x14ac:dyDescent="0.4">
      <c r="A38" s="30">
        <v>1212</v>
      </c>
      <c r="B38" s="31">
        <v>3</v>
      </c>
      <c r="C38" s="31">
        <v>1</v>
      </c>
      <c r="D38" s="31">
        <v>0</v>
      </c>
      <c r="E38" s="31">
        <v>0</v>
      </c>
    </row>
    <row r="39" spans="1:5" x14ac:dyDescent="0.4">
      <c r="A39" s="30">
        <v>1213</v>
      </c>
      <c r="B39" s="31">
        <v>4</v>
      </c>
      <c r="C39" s="31">
        <v>1</v>
      </c>
      <c r="D39" s="31">
        <v>0</v>
      </c>
      <c r="E39" s="31">
        <v>0</v>
      </c>
    </row>
    <row r="40" spans="1:5" x14ac:dyDescent="0.4">
      <c r="A40" s="30">
        <v>1214</v>
      </c>
      <c r="B40" s="31">
        <v>3</v>
      </c>
      <c r="C40" s="31">
        <v>1</v>
      </c>
      <c r="D40" s="31">
        <v>0</v>
      </c>
      <c r="E40" s="31">
        <v>0</v>
      </c>
    </row>
    <row r="41" spans="1:5" x14ac:dyDescent="0.4">
      <c r="A41" s="30">
        <v>1215</v>
      </c>
      <c r="B41" s="31">
        <v>1</v>
      </c>
      <c r="C41" s="31">
        <v>2</v>
      </c>
      <c r="D41" s="31">
        <v>0</v>
      </c>
      <c r="E41" s="31">
        <v>0</v>
      </c>
    </row>
    <row r="42" spans="1:5" x14ac:dyDescent="0.4">
      <c r="A42" s="30">
        <v>1216</v>
      </c>
      <c r="B42" s="31">
        <v>2</v>
      </c>
      <c r="C42" s="31">
        <v>2</v>
      </c>
      <c r="D42" s="31">
        <v>0</v>
      </c>
      <c r="E42" s="31">
        <v>0</v>
      </c>
    </row>
    <row r="43" spans="1:5" x14ac:dyDescent="0.4">
      <c r="A43" s="30">
        <v>1218</v>
      </c>
      <c r="B43" s="31">
        <v>2</v>
      </c>
      <c r="C43" s="31">
        <v>1</v>
      </c>
      <c r="D43" s="31">
        <v>0</v>
      </c>
      <c r="E43" s="31">
        <v>0</v>
      </c>
    </row>
    <row r="44" spans="1:5" x14ac:dyDescent="0.4">
      <c r="A44" s="30">
        <v>1219</v>
      </c>
      <c r="B44" s="31">
        <v>4</v>
      </c>
      <c r="C44" s="31">
        <v>1</v>
      </c>
      <c r="D44" s="31">
        <v>0</v>
      </c>
      <c r="E44" s="31">
        <v>0</v>
      </c>
    </row>
    <row r="45" spans="1:5" x14ac:dyDescent="0.4">
      <c r="A45" s="30">
        <v>1220</v>
      </c>
      <c r="B45" s="31">
        <v>2</v>
      </c>
      <c r="C45" s="31">
        <v>1</v>
      </c>
      <c r="D45" s="31">
        <v>0</v>
      </c>
      <c r="E45" s="31">
        <v>0</v>
      </c>
    </row>
    <row r="46" spans="1:5" x14ac:dyDescent="0.4">
      <c r="A46" s="30">
        <v>1221</v>
      </c>
      <c r="B46" s="31">
        <v>4</v>
      </c>
      <c r="C46" s="31">
        <v>1</v>
      </c>
      <c r="D46" s="31">
        <v>0</v>
      </c>
      <c r="E46" s="31">
        <v>0</v>
      </c>
    </row>
    <row r="47" spans="1:5" x14ac:dyDescent="0.4">
      <c r="A47" s="30">
        <v>1222</v>
      </c>
      <c r="B47" s="31">
        <v>3</v>
      </c>
      <c r="C47" s="31">
        <v>1</v>
      </c>
      <c r="D47" s="31">
        <v>0</v>
      </c>
      <c r="E47" s="31">
        <v>0</v>
      </c>
    </row>
    <row r="48" spans="1:5" x14ac:dyDescent="0.4">
      <c r="A48" s="30">
        <v>1223</v>
      </c>
      <c r="B48" s="31">
        <v>2</v>
      </c>
      <c r="C48" s="31">
        <v>2</v>
      </c>
      <c r="D48" s="31">
        <v>0</v>
      </c>
      <c r="E48" s="31">
        <v>0</v>
      </c>
    </row>
    <row r="49" spans="1:5" x14ac:dyDescent="0.4">
      <c r="A49" s="30">
        <v>1225</v>
      </c>
      <c r="B49" s="31">
        <v>4</v>
      </c>
      <c r="C49" s="31">
        <v>1</v>
      </c>
      <c r="D49" s="31">
        <v>0</v>
      </c>
      <c r="E49" s="31">
        <v>0</v>
      </c>
    </row>
    <row r="50" spans="1:5" x14ac:dyDescent="0.4">
      <c r="A50" s="30">
        <v>1226</v>
      </c>
      <c r="B50" s="31">
        <v>3</v>
      </c>
      <c r="C50" s="31">
        <v>1</v>
      </c>
      <c r="D50" s="31">
        <v>0</v>
      </c>
      <c r="E50" s="31">
        <v>0</v>
      </c>
    </row>
    <row r="51" spans="1:5" x14ac:dyDescent="0.4">
      <c r="A51" s="30">
        <v>1227</v>
      </c>
      <c r="B51" s="31">
        <v>4</v>
      </c>
      <c r="C51" s="31">
        <v>1</v>
      </c>
      <c r="D51" s="31">
        <v>0</v>
      </c>
      <c r="E51" s="31">
        <v>0</v>
      </c>
    </row>
    <row r="52" spans="1:5" x14ac:dyDescent="0.4">
      <c r="A52" s="30">
        <v>1228</v>
      </c>
      <c r="B52" s="31">
        <v>3</v>
      </c>
      <c r="C52" s="31">
        <v>1</v>
      </c>
      <c r="D52" s="31">
        <v>0</v>
      </c>
      <c r="E52" s="31">
        <v>0</v>
      </c>
    </row>
    <row r="53" spans="1:5" x14ac:dyDescent="0.4">
      <c r="A53" s="30">
        <v>1301</v>
      </c>
      <c r="B53" s="31">
        <v>4</v>
      </c>
      <c r="C53" s="31">
        <v>1</v>
      </c>
      <c r="D53" s="31">
        <v>0</v>
      </c>
      <c r="E53" s="31">
        <v>0</v>
      </c>
    </row>
    <row r="54" spans="1:5" x14ac:dyDescent="0.4">
      <c r="A54" s="30">
        <v>1302</v>
      </c>
      <c r="B54" s="31">
        <v>2</v>
      </c>
      <c r="C54" s="31">
        <v>1</v>
      </c>
      <c r="D54" s="31">
        <v>0</v>
      </c>
      <c r="E54" s="31">
        <v>0</v>
      </c>
    </row>
    <row r="55" spans="1:5" x14ac:dyDescent="0.4">
      <c r="A55" s="30">
        <v>1303</v>
      </c>
      <c r="B55" s="31">
        <v>4</v>
      </c>
      <c r="C55" s="31">
        <v>1</v>
      </c>
      <c r="D55" s="31">
        <v>0</v>
      </c>
      <c r="E55" s="31">
        <v>0</v>
      </c>
    </row>
    <row r="56" spans="1:5" x14ac:dyDescent="0.4">
      <c r="A56" s="30">
        <v>1304</v>
      </c>
      <c r="B56" s="31">
        <v>2</v>
      </c>
      <c r="C56" s="31">
        <v>1</v>
      </c>
      <c r="D56" s="31">
        <v>0</v>
      </c>
      <c r="E56" s="31">
        <v>0</v>
      </c>
    </row>
    <row r="57" spans="1:5" x14ac:dyDescent="0.4">
      <c r="A57" s="30">
        <v>1305</v>
      </c>
      <c r="B57" s="31">
        <v>4</v>
      </c>
      <c r="C57" s="31">
        <v>1</v>
      </c>
      <c r="D57" s="31">
        <v>0</v>
      </c>
      <c r="E57" s="31">
        <v>0</v>
      </c>
    </row>
    <row r="58" spans="1:5" x14ac:dyDescent="0.4">
      <c r="A58" s="30">
        <v>1306</v>
      </c>
      <c r="B58" s="31">
        <v>2</v>
      </c>
      <c r="C58" s="31">
        <v>1</v>
      </c>
      <c r="D58" s="31">
        <v>0</v>
      </c>
      <c r="E58" s="31">
        <v>0</v>
      </c>
    </row>
    <row r="59" spans="1:5" x14ac:dyDescent="0.4">
      <c r="A59" s="30">
        <v>1307</v>
      </c>
      <c r="B59" s="31">
        <v>4</v>
      </c>
      <c r="C59" s="31">
        <v>1</v>
      </c>
      <c r="D59" s="31">
        <v>0</v>
      </c>
      <c r="E59" s="31">
        <v>0</v>
      </c>
    </row>
    <row r="60" spans="1:5" x14ac:dyDescent="0.4">
      <c r="A60" s="30">
        <v>1308</v>
      </c>
      <c r="B60" s="31">
        <v>2</v>
      </c>
      <c r="C60" s="31">
        <v>1</v>
      </c>
      <c r="D60" s="31">
        <v>0</v>
      </c>
      <c r="E60" s="31">
        <v>0</v>
      </c>
    </row>
    <row r="61" spans="1:5" x14ac:dyDescent="0.4">
      <c r="A61" s="30">
        <v>1309</v>
      </c>
      <c r="B61" s="31">
        <v>4</v>
      </c>
      <c r="C61" s="31">
        <v>1</v>
      </c>
      <c r="D61" s="31">
        <v>0</v>
      </c>
      <c r="E61" s="31">
        <v>0</v>
      </c>
    </row>
    <row r="62" spans="1:5" x14ac:dyDescent="0.4">
      <c r="A62" s="30">
        <v>1310</v>
      </c>
      <c r="B62" s="31">
        <v>4</v>
      </c>
      <c r="C62" s="31">
        <v>1</v>
      </c>
      <c r="D62" s="31">
        <v>0</v>
      </c>
      <c r="E62" s="31">
        <v>0</v>
      </c>
    </row>
    <row r="63" spans="1:5" x14ac:dyDescent="0.4">
      <c r="A63" s="30">
        <v>1311</v>
      </c>
      <c r="B63" s="31">
        <v>2</v>
      </c>
      <c r="C63" s="31">
        <v>1</v>
      </c>
      <c r="D63" s="31">
        <v>0</v>
      </c>
      <c r="E63" s="31">
        <v>0</v>
      </c>
    </row>
    <row r="64" spans="1:5" x14ac:dyDescent="0.4">
      <c r="A64" s="30">
        <v>1312</v>
      </c>
      <c r="B64" s="31">
        <v>4</v>
      </c>
      <c r="C64" s="31">
        <v>1</v>
      </c>
      <c r="D64" s="31">
        <v>0</v>
      </c>
      <c r="E64" s="31">
        <v>0</v>
      </c>
    </row>
    <row r="65" spans="1:5" x14ac:dyDescent="0.4">
      <c r="A65" s="30">
        <v>1313</v>
      </c>
      <c r="B65" s="31">
        <v>3</v>
      </c>
      <c r="C65" s="31">
        <v>1</v>
      </c>
      <c r="D65" s="31">
        <v>0</v>
      </c>
      <c r="E65" s="31">
        <v>0</v>
      </c>
    </row>
    <row r="66" spans="1:5" x14ac:dyDescent="0.4">
      <c r="A66" s="30">
        <v>1314</v>
      </c>
      <c r="B66" s="31">
        <v>4</v>
      </c>
      <c r="C66" s="31">
        <v>1</v>
      </c>
      <c r="D66" s="31">
        <v>0</v>
      </c>
      <c r="E66" s="31">
        <v>0</v>
      </c>
    </row>
    <row r="67" spans="1:5" x14ac:dyDescent="0.4">
      <c r="A67" s="30">
        <v>1315</v>
      </c>
      <c r="B67" s="31">
        <v>2</v>
      </c>
      <c r="C67" s="31">
        <v>2</v>
      </c>
      <c r="D67" s="31">
        <v>0</v>
      </c>
      <c r="E67" s="31">
        <v>0</v>
      </c>
    </row>
    <row r="68" spans="1:5" x14ac:dyDescent="0.4">
      <c r="A68" s="30">
        <v>1316</v>
      </c>
      <c r="B68" s="31">
        <v>1</v>
      </c>
      <c r="C68" s="31">
        <v>2</v>
      </c>
      <c r="D68" s="31">
        <v>0</v>
      </c>
      <c r="E68" s="31">
        <v>0</v>
      </c>
    </row>
    <row r="69" spans="1:5" x14ac:dyDescent="0.4">
      <c r="A69" s="30">
        <v>1318</v>
      </c>
      <c r="B69" s="31">
        <v>4</v>
      </c>
      <c r="C69" s="31">
        <v>1</v>
      </c>
      <c r="D69" s="31">
        <v>0</v>
      </c>
      <c r="E69" s="31">
        <v>0</v>
      </c>
    </row>
    <row r="70" spans="1:5" x14ac:dyDescent="0.4">
      <c r="A70" s="30">
        <v>1319</v>
      </c>
      <c r="B70" s="31">
        <v>2</v>
      </c>
      <c r="C70" s="31">
        <v>1</v>
      </c>
      <c r="D70" s="31">
        <v>0</v>
      </c>
      <c r="E70" s="31">
        <v>0</v>
      </c>
    </row>
    <row r="71" spans="1:5" x14ac:dyDescent="0.4">
      <c r="A71" s="30">
        <v>1320</v>
      </c>
      <c r="B71" s="31">
        <v>4</v>
      </c>
      <c r="C71" s="31">
        <v>1</v>
      </c>
      <c r="D71" s="31">
        <v>0</v>
      </c>
      <c r="E71" s="31">
        <v>0</v>
      </c>
    </row>
    <row r="72" spans="1:5" x14ac:dyDescent="0.4">
      <c r="A72" s="30">
        <v>1321</v>
      </c>
      <c r="B72" s="31">
        <v>2</v>
      </c>
      <c r="C72" s="31">
        <v>1</v>
      </c>
      <c r="D72" s="31">
        <v>0</v>
      </c>
      <c r="E72" s="31">
        <v>0</v>
      </c>
    </row>
    <row r="73" spans="1:5" x14ac:dyDescent="0.4">
      <c r="A73" s="30">
        <v>1322</v>
      </c>
      <c r="B73" s="31">
        <v>4</v>
      </c>
      <c r="C73" s="31">
        <v>1</v>
      </c>
      <c r="D73" s="31">
        <v>0</v>
      </c>
      <c r="E73" s="31">
        <v>0</v>
      </c>
    </row>
    <row r="74" spans="1:5" x14ac:dyDescent="0.4">
      <c r="A74" s="30">
        <v>1323</v>
      </c>
      <c r="B74" s="31">
        <v>1</v>
      </c>
      <c r="C74" s="31">
        <v>2</v>
      </c>
      <c r="D74" s="31">
        <v>0</v>
      </c>
      <c r="E74" s="31">
        <v>0</v>
      </c>
    </row>
    <row r="75" spans="1:5" x14ac:dyDescent="0.4">
      <c r="A75" s="30">
        <v>1324</v>
      </c>
      <c r="B75" s="31">
        <v>2</v>
      </c>
      <c r="C75" s="31">
        <v>2</v>
      </c>
      <c r="D75" s="31">
        <v>0</v>
      </c>
      <c r="E75" s="31">
        <v>0</v>
      </c>
    </row>
    <row r="76" spans="1:5" x14ac:dyDescent="0.4">
      <c r="A76" s="30">
        <v>1325</v>
      </c>
      <c r="B76" s="31">
        <v>4</v>
      </c>
      <c r="C76" s="31">
        <v>1</v>
      </c>
      <c r="D76" s="31">
        <v>0</v>
      </c>
      <c r="E76" s="31">
        <v>0</v>
      </c>
    </row>
    <row r="77" spans="1:5" x14ac:dyDescent="0.4">
      <c r="A77" s="30">
        <v>1326</v>
      </c>
      <c r="B77" s="31">
        <v>2</v>
      </c>
      <c r="C77" s="31">
        <v>1</v>
      </c>
      <c r="D77" s="31">
        <v>0</v>
      </c>
      <c r="E77" s="31">
        <v>0</v>
      </c>
    </row>
    <row r="78" spans="1:5" x14ac:dyDescent="0.4">
      <c r="A78" s="30">
        <v>1327</v>
      </c>
      <c r="B78" s="31">
        <v>4</v>
      </c>
      <c r="C78" s="31">
        <v>1</v>
      </c>
      <c r="D78" s="31">
        <v>0</v>
      </c>
      <c r="E78" s="31">
        <v>0</v>
      </c>
    </row>
    <row r="79" spans="1:5" x14ac:dyDescent="0.4">
      <c r="A79" s="30">
        <v>1328</v>
      </c>
      <c r="B79" s="31">
        <v>3</v>
      </c>
      <c r="C79" s="31">
        <v>1</v>
      </c>
      <c r="D79" s="31">
        <v>0</v>
      </c>
      <c r="E79" s="31">
        <v>0</v>
      </c>
    </row>
    <row r="80" spans="1:5" x14ac:dyDescent="0.4">
      <c r="A80" s="30">
        <v>2101</v>
      </c>
      <c r="B80" s="31">
        <v>1</v>
      </c>
      <c r="C80" s="31">
        <v>2</v>
      </c>
      <c r="D80" s="31">
        <v>0</v>
      </c>
      <c r="E80" s="31">
        <v>0</v>
      </c>
    </row>
    <row r="81" spans="1:5" x14ac:dyDescent="0.4">
      <c r="A81" s="30">
        <v>2102</v>
      </c>
      <c r="B81" s="31">
        <v>1</v>
      </c>
      <c r="C81" s="31">
        <v>2</v>
      </c>
      <c r="D81" s="31">
        <v>0</v>
      </c>
      <c r="E81" s="31">
        <v>0</v>
      </c>
    </row>
    <row r="82" spans="1:5" x14ac:dyDescent="0.4">
      <c r="A82" s="30">
        <v>2103</v>
      </c>
      <c r="B82" s="31">
        <v>1</v>
      </c>
      <c r="C82" s="31">
        <v>2</v>
      </c>
      <c r="D82" s="31">
        <v>0</v>
      </c>
      <c r="E82" s="31">
        <v>0</v>
      </c>
    </row>
    <row r="83" spans="1:5" x14ac:dyDescent="0.4">
      <c r="A83" s="30">
        <v>2104</v>
      </c>
      <c r="B83" s="31">
        <v>1</v>
      </c>
      <c r="C83" s="31">
        <v>2</v>
      </c>
      <c r="D83" s="31">
        <v>0</v>
      </c>
      <c r="E83" s="31">
        <v>0</v>
      </c>
    </row>
    <row r="84" spans="1:5" x14ac:dyDescent="0.4">
      <c r="A84" s="30">
        <v>2105</v>
      </c>
      <c r="B84" s="31">
        <v>3</v>
      </c>
      <c r="C84" s="31">
        <v>1</v>
      </c>
      <c r="D84" s="31">
        <v>0</v>
      </c>
      <c r="E84" s="31">
        <v>0</v>
      </c>
    </row>
    <row r="85" spans="1:5" x14ac:dyDescent="0.4">
      <c r="A85" s="30">
        <v>2106</v>
      </c>
      <c r="B85" s="31">
        <v>3</v>
      </c>
      <c r="C85" s="31">
        <v>1</v>
      </c>
      <c r="D85" s="31">
        <v>0</v>
      </c>
      <c r="E85" s="31">
        <v>0</v>
      </c>
    </row>
    <row r="86" spans="1:5" x14ac:dyDescent="0.4">
      <c r="A86" s="30">
        <v>2107</v>
      </c>
      <c r="B86" s="31">
        <v>3</v>
      </c>
      <c r="C86" s="31">
        <v>1</v>
      </c>
      <c r="D86" s="31">
        <v>0</v>
      </c>
      <c r="E86" s="31">
        <v>0</v>
      </c>
    </row>
    <row r="87" spans="1:5" x14ac:dyDescent="0.4">
      <c r="A87" s="30">
        <v>2108</v>
      </c>
      <c r="B87" s="31">
        <v>3</v>
      </c>
      <c r="C87" s="31">
        <v>1</v>
      </c>
      <c r="D87" s="31">
        <v>0</v>
      </c>
      <c r="E87" s="31">
        <v>0</v>
      </c>
    </row>
    <row r="88" spans="1:5" x14ac:dyDescent="0.4">
      <c r="A88" s="30">
        <v>2109</v>
      </c>
      <c r="B88" s="31">
        <v>3</v>
      </c>
      <c r="C88" s="31">
        <v>1</v>
      </c>
      <c r="D88" s="31">
        <v>0</v>
      </c>
      <c r="E88" s="31">
        <v>0</v>
      </c>
    </row>
    <row r="89" spans="1:5" x14ac:dyDescent="0.4">
      <c r="A89" s="30">
        <v>2110</v>
      </c>
      <c r="B89" s="31">
        <v>3</v>
      </c>
      <c r="C89" s="31">
        <v>1</v>
      </c>
      <c r="D89" s="31">
        <v>0</v>
      </c>
      <c r="E89" s="31">
        <v>0</v>
      </c>
    </row>
    <row r="90" spans="1:5" x14ac:dyDescent="0.4">
      <c r="A90" s="30">
        <v>2111</v>
      </c>
      <c r="B90" s="31">
        <v>3</v>
      </c>
      <c r="C90" s="31">
        <v>1</v>
      </c>
      <c r="D90" s="31">
        <v>0</v>
      </c>
      <c r="E90" s="31">
        <v>0</v>
      </c>
    </row>
    <row r="91" spans="1:5" x14ac:dyDescent="0.4">
      <c r="A91" s="30">
        <v>2112</v>
      </c>
      <c r="B91" s="31">
        <v>3</v>
      </c>
      <c r="C91" s="31">
        <v>1</v>
      </c>
      <c r="D91" s="31">
        <v>0</v>
      </c>
      <c r="E91" s="31">
        <v>0</v>
      </c>
    </row>
    <row r="92" spans="1:5" x14ac:dyDescent="0.4">
      <c r="A92" s="30">
        <v>2113</v>
      </c>
      <c r="B92" s="31">
        <v>3</v>
      </c>
      <c r="C92" s="31">
        <v>1</v>
      </c>
      <c r="D92" s="31">
        <v>0</v>
      </c>
      <c r="E92" s="31">
        <v>0</v>
      </c>
    </row>
    <row r="93" spans="1:5" x14ac:dyDescent="0.4">
      <c r="A93" s="30">
        <v>2114</v>
      </c>
      <c r="B93" s="31">
        <v>3</v>
      </c>
      <c r="C93" s="31">
        <v>1</v>
      </c>
      <c r="D93" s="31">
        <v>0</v>
      </c>
      <c r="E93" s="31">
        <v>0</v>
      </c>
    </row>
    <row r="94" spans="1:5" x14ac:dyDescent="0.4">
      <c r="A94" s="30">
        <v>2115</v>
      </c>
      <c r="B94" s="31">
        <v>3</v>
      </c>
      <c r="C94" s="31">
        <v>1</v>
      </c>
      <c r="D94" s="31">
        <v>0</v>
      </c>
      <c r="E94" s="31">
        <v>0</v>
      </c>
    </row>
    <row r="95" spans="1:5" x14ac:dyDescent="0.4">
      <c r="A95" s="30">
        <v>2201</v>
      </c>
      <c r="B95" s="31">
        <v>2</v>
      </c>
      <c r="C95" s="31">
        <v>2</v>
      </c>
      <c r="D95" s="31">
        <v>0</v>
      </c>
      <c r="E95" s="31">
        <v>0</v>
      </c>
    </row>
    <row r="96" spans="1:5" x14ac:dyDescent="0.4">
      <c r="A96" s="30">
        <v>2202</v>
      </c>
      <c r="B96" s="31">
        <v>2</v>
      </c>
      <c r="C96" s="31">
        <v>2</v>
      </c>
      <c r="D96" s="31">
        <v>0</v>
      </c>
      <c r="E96" s="31">
        <v>0</v>
      </c>
    </row>
    <row r="97" spans="1:5" x14ac:dyDescent="0.4">
      <c r="A97" s="30">
        <v>2203</v>
      </c>
      <c r="B97" s="31">
        <v>1</v>
      </c>
      <c r="C97" s="31">
        <v>2</v>
      </c>
      <c r="D97" s="31">
        <v>0</v>
      </c>
      <c r="E97" s="31">
        <v>0</v>
      </c>
    </row>
    <row r="98" spans="1:5" x14ac:dyDescent="0.4">
      <c r="A98" s="30">
        <v>2204</v>
      </c>
      <c r="B98" s="31">
        <v>2</v>
      </c>
      <c r="C98" s="31">
        <v>2</v>
      </c>
      <c r="D98" s="31">
        <v>0</v>
      </c>
      <c r="E98" s="31">
        <v>0</v>
      </c>
    </row>
    <row r="99" spans="1:5" x14ac:dyDescent="0.4">
      <c r="A99" s="30">
        <v>2205</v>
      </c>
      <c r="B99" s="31">
        <v>1</v>
      </c>
      <c r="C99" s="31">
        <v>2</v>
      </c>
      <c r="D99" s="31">
        <v>0</v>
      </c>
      <c r="E99" s="31">
        <v>0</v>
      </c>
    </row>
    <row r="100" spans="1:5" x14ac:dyDescent="0.4">
      <c r="A100" s="30">
        <v>2206</v>
      </c>
      <c r="B100" s="31">
        <v>2</v>
      </c>
      <c r="C100" s="31">
        <v>2</v>
      </c>
      <c r="D100" s="31">
        <v>0</v>
      </c>
      <c r="E100" s="31">
        <v>0</v>
      </c>
    </row>
    <row r="101" spans="1:5" x14ac:dyDescent="0.4">
      <c r="A101" s="30">
        <v>2208</v>
      </c>
      <c r="B101" s="31">
        <v>2</v>
      </c>
      <c r="C101" s="31">
        <v>2</v>
      </c>
      <c r="D101" s="31">
        <v>0</v>
      </c>
      <c r="E101" s="31">
        <v>0</v>
      </c>
    </row>
    <row r="102" spans="1:5" x14ac:dyDescent="0.4">
      <c r="A102" s="30">
        <v>2209</v>
      </c>
      <c r="B102" s="31">
        <v>1</v>
      </c>
      <c r="C102" s="31">
        <v>2</v>
      </c>
      <c r="D102" s="31">
        <v>0</v>
      </c>
      <c r="E102" s="31">
        <v>0</v>
      </c>
    </row>
    <row r="103" spans="1:5" x14ac:dyDescent="0.4">
      <c r="A103" s="30">
        <v>2210</v>
      </c>
      <c r="B103" s="31">
        <v>2</v>
      </c>
      <c r="C103" s="31">
        <v>2</v>
      </c>
      <c r="D103" s="31">
        <v>0</v>
      </c>
      <c r="E103" s="31">
        <v>0</v>
      </c>
    </row>
    <row r="104" spans="1:5" x14ac:dyDescent="0.4">
      <c r="A104" s="30">
        <v>2211</v>
      </c>
      <c r="B104" s="31">
        <v>1</v>
      </c>
      <c r="C104" s="31">
        <v>2</v>
      </c>
      <c r="D104" s="31">
        <v>0</v>
      </c>
      <c r="E104" s="31">
        <v>0</v>
      </c>
    </row>
    <row r="105" spans="1:5" x14ac:dyDescent="0.4">
      <c r="A105" s="30">
        <v>2212</v>
      </c>
      <c r="B105" s="31">
        <v>2</v>
      </c>
      <c r="C105" s="31">
        <v>2</v>
      </c>
      <c r="D105" s="31">
        <v>0</v>
      </c>
      <c r="E105" s="31">
        <v>0</v>
      </c>
    </row>
    <row r="106" spans="1:5" x14ac:dyDescent="0.4">
      <c r="A106" s="30">
        <v>2214</v>
      </c>
      <c r="B106" s="31">
        <v>2</v>
      </c>
      <c r="C106" s="31">
        <v>2</v>
      </c>
      <c r="D106" s="31">
        <v>0</v>
      </c>
      <c r="E106" s="31">
        <v>0</v>
      </c>
    </row>
    <row r="107" spans="1:5" x14ac:dyDescent="0.4">
      <c r="A107" s="30">
        <v>2301</v>
      </c>
      <c r="B107" s="31">
        <v>2</v>
      </c>
      <c r="C107" s="31">
        <v>1</v>
      </c>
      <c r="D107" s="31">
        <v>0</v>
      </c>
      <c r="E107" s="31">
        <v>0</v>
      </c>
    </row>
    <row r="108" spans="1:5" x14ac:dyDescent="0.4">
      <c r="A108" s="30">
        <v>2302</v>
      </c>
      <c r="B108" s="31">
        <v>3</v>
      </c>
      <c r="C108" s="31">
        <v>1</v>
      </c>
      <c r="D108" s="31">
        <v>0</v>
      </c>
      <c r="E108" s="31">
        <v>0</v>
      </c>
    </row>
    <row r="109" spans="1:5" x14ac:dyDescent="0.4">
      <c r="A109" s="30">
        <v>2303</v>
      </c>
      <c r="B109" s="31">
        <v>2</v>
      </c>
      <c r="C109" s="31">
        <v>1</v>
      </c>
      <c r="D109" s="31">
        <v>0</v>
      </c>
      <c r="E109" s="31">
        <v>0</v>
      </c>
    </row>
    <row r="110" spans="1:5" x14ac:dyDescent="0.4">
      <c r="A110" s="30">
        <v>2304</v>
      </c>
      <c r="B110" s="31">
        <v>2</v>
      </c>
      <c r="C110" s="31">
        <v>1</v>
      </c>
      <c r="D110" s="31">
        <v>0</v>
      </c>
      <c r="E110" s="31">
        <v>0</v>
      </c>
    </row>
    <row r="111" spans="1:5" x14ac:dyDescent="0.4">
      <c r="A111" s="30">
        <v>2305</v>
      </c>
      <c r="B111" s="31">
        <v>2</v>
      </c>
      <c r="C111" s="31">
        <v>1</v>
      </c>
      <c r="D111" s="31">
        <v>0</v>
      </c>
      <c r="E111" s="31">
        <v>0</v>
      </c>
    </row>
    <row r="112" spans="1:5" x14ac:dyDescent="0.4">
      <c r="A112" s="30">
        <v>2306</v>
      </c>
      <c r="B112" s="31">
        <v>2</v>
      </c>
      <c r="C112" s="31">
        <v>1</v>
      </c>
      <c r="D112" s="31">
        <v>0</v>
      </c>
      <c r="E112" s="31">
        <v>0</v>
      </c>
    </row>
    <row r="113" spans="1:5" x14ac:dyDescent="0.4">
      <c r="A113" s="30">
        <v>2307</v>
      </c>
      <c r="B113" s="31">
        <v>2</v>
      </c>
      <c r="C113" s="31">
        <v>1</v>
      </c>
      <c r="D113" s="31">
        <v>0</v>
      </c>
      <c r="E113" s="31">
        <v>0</v>
      </c>
    </row>
    <row r="114" spans="1:5" x14ac:dyDescent="0.4">
      <c r="A114" s="30">
        <v>2308</v>
      </c>
      <c r="B114" s="31">
        <v>3</v>
      </c>
      <c r="C114" s="31">
        <v>1</v>
      </c>
      <c r="D114" s="31">
        <v>0</v>
      </c>
      <c r="E114" s="31">
        <v>0</v>
      </c>
    </row>
    <row r="115" spans="1:5" x14ac:dyDescent="0.4">
      <c r="A115" s="30">
        <v>2309</v>
      </c>
      <c r="B115" s="31">
        <v>2</v>
      </c>
      <c r="C115" s="31">
        <v>1</v>
      </c>
      <c r="D115" s="31">
        <v>0</v>
      </c>
      <c r="E115" s="31">
        <v>0</v>
      </c>
    </row>
    <row r="116" spans="1:5" x14ac:dyDescent="0.4">
      <c r="A116" s="30">
        <v>2310</v>
      </c>
      <c r="B116" s="31">
        <v>3</v>
      </c>
      <c r="C116" s="31">
        <v>1</v>
      </c>
      <c r="D116" s="31">
        <v>0</v>
      </c>
      <c r="E116" s="31">
        <v>0</v>
      </c>
    </row>
    <row r="117" spans="1:5" x14ac:dyDescent="0.4">
      <c r="A117" s="30">
        <v>2311</v>
      </c>
      <c r="B117" s="31">
        <v>2</v>
      </c>
      <c r="C117" s="31">
        <v>1</v>
      </c>
      <c r="D117" s="31">
        <v>0</v>
      </c>
      <c r="E117" s="31">
        <v>0</v>
      </c>
    </row>
    <row r="118" spans="1:5" x14ac:dyDescent="0.4">
      <c r="A118" s="30">
        <v>2312</v>
      </c>
      <c r="B118" s="31">
        <v>3</v>
      </c>
      <c r="C118" s="31">
        <v>1</v>
      </c>
      <c r="D118" s="31">
        <v>0</v>
      </c>
      <c r="E118" s="31">
        <v>0</v>
      </c>
    </row>
    <row r="119" spans="1:5" x14ac:dyDescent="0.4">
      <c r="A119" s="30">
        <v>2313</v>
      </c>
      <c r="B119" s="31">
        <v>1</v>
      </c>
      <c r="C119" s="31">
        <v>2</v>
      </c>
      <c r="D119" s="31">
        <v>0</v>
      </c>
      <c r="E119" s="31">
        <v>0</v>
      </c>
    </row>
    <row r="120" spans="1:5" x14ac:dyDescent="0.4">
      <c r="A120" s="30">
        <v>2314</v>
      </c>
      <c r="B120" s="31">
        <v>1</v>
      </c>
      <c r="C120" s="31">
        <v>2</v>
      </c>
      <c r="D120" s="31">
        <v>0</v>
      </c>
      <c r="E120" s="31">
        <v>0</v>
      </c>
    </row>
    <row r="121" spans="1:5" x14ac:dyDescent="0.4">
      <c r="A121" s="30">
        <v>2315</v>
      </c>
      <c r="B121" s="31">
        <v>2</v>
      </c>
      <c r="C121" s="31">
        <v>1</v>
      </c>
      <c r="D121" s="31">
        <v>0</v>
      </c>
      <c r="E121" s="31">
        <v>0</v>
      </c>
    </row>
    <row r="122" spans="1:5" x14ac:dyDescent="0.4">
      <c r="A122" s="30">
        <v>2316</v>
      </c>
      <c r="B122" s="31">
        <v>3</v>
      </c>
      <c r="C122" s="31">
        <v>1</v>
      </c>
      <c r="D122" s="31">
        <v>0</v>
      </c>
      <c r="E122" s="31">
        <v>0</v>
      </c>
    </row>
    <row r="123" spans="1:5" x14ac:dyDescent="0.4">
      <c r="A123" s="30">
        <v>2317</v>
      </c>
      <c r="B123" s="31">
        <v>2</v>
      </c>
      <c r="C123" s="31">
        <v>1</v>
      </c>
      <c r="D123" s="31">
        <v>0</v>
      </c>
      <c r="E123" s="31">
        <v>0</v>
      </c>
    </row>
    <row r="124" spans="1:5" x14ac:dyDescent="0.4">
      <c r="A124" s="30">
        <v>2318</v>
      </c>
      <c r="B124" s="31">
        <v>3</v>
      </c>
      <c r="C124" s="31">
        <v>1</v>
      </c>
      <c r="D124" s="31">
        <v>0</v>
      </c>
      <c r="E124" s="31">
        <v>0</v>
      </c>
    </row>
    <row r="125" spans="1:5" x14ac:dyDescent="0.4">
      <c r="A125" s="30">
        <v>2319</v>
      </c>
      <c r="B125" s="31">
        <v>2</v>
      </c>
      <c r="C125" s="31">
        <v>1</v>
      </c>
      <c r="D125" s="31">
        <v>0</v>
      </c>
      <c r="E125" s="31">
        <v>0</v>
      </c>
    </row>
    <row r="126" spans="1:5" x14ac:dyDescent="0.4">
      <c r="A126" s="30">
        <v>2320</v>
      </c>
      <c r="B126" s="31">
        <v>3</v>
      </c>
      <c r="C126" s="31">
        <v>1</v>
      </c>
      <c r="D126" s="31">
        <v>0</v>
      </c>
      <c r="E126" s="31">
        <v>0</v>
      </c>
    </row>
    <row r="127" spans="1:5" x14ac:dyDescent="0.4">
      <c r="A127" s="30">
        <v>2321</v>
      </c>
      <c r="B127" s="31">
        <v>2</v>
      </c>
      <c r="C127" s="31">
        <v>1</v>
      </c>
      <c r="D127" s="31">
        <v>0</v>
      </c>
      <c r="E127" s="31">
        <v>0</v>
      </c>
    </row>
    <row r="128" spans="1:5" x14ac:dyDescent="0.4">
      <c r="A128" s="30">
        <v>2322</v>
      </c>
      <c r="B128" s="31">
        <v>3</v>
      </c>
      <c r="C128" s="31">
        <v>1</v>
      </c>
      <c r="D128" s="31">
        <v>0</v>
      </c>
      <c r="E128" s="31">
        <v>0</v>
      </c>
    </row>
    <row r="129" spans="1:5" x14ac:dyDescent="0.4">
      <c r="A129" s="30">
        <v>2323</v>
      </c>
      <c r="B129" s="31">
        <v>2</v>
      </c>
      <c r="C129" s="31">
        <v>1</v>
      </c>
      <c r="D129" s="31">
        <v>0</v>
      </c>
      <c r="E129" s="31">
        <v>0</v>
      </c>
    </row>
    <row r="130" spans="1:5" x14ac:dyDescent="0.4">
      <c r="A130" s="30">
        <v>2324</v>
      </c>
      <c r="B130" s="31">
        <v>3</v>
      </c>
      <c r="C130" s="31">
        <v>1</v>
      </c>
      <c r="D130" s="31">
        <v>0</v>
      </c>
      <c r="E130" s="31">
        <v>0</v>
      </c>
    </row>
    <row r="131" spans="1:5" x14ac:dyDescent="0.4">
      <c r="A131" s="30">
        <v>2325</v>
      </c>
      <c r="B131" s="31">
        <v>2</v>
      </c>
      <c r="C131" s="31">
        <v>1</v>
      </c>
      <c r="D131" s="31">
        <v>0</v>
      </c>
      <c r="E131" s="31">
        <v>0</v>
      </c>
    </row>
    <row r="132" spans="1:5" x14ac:dyDescent="0.4">
      <c r="A132" s="30">
        <v>2326</v>
      </c>
      <c r="B132" s="31">
        <v>3</v>
      </c>
      <c r="C132" s="31">
        <v>1</v>
      </c>
      <c r="D132" s="31">
        <v>0</v>
      </c>
      <c r="E132" s="31">
        <v>0</v>
      </c>
    </row>
    <row r="133" spans="1:5" x14ac:dyDescent="0.4">
      <c r="A133" s="30">
        <v>2327</v>
      </c>
      <c r="B133" s="31">
        <v>2</v>
      </c>
      <c r="C133" s="31">
        <v>1</v>
      </c>
      <c r="D133" s="31">
        <v>0</v>
      </c>
      <c r="E133" s="31">
        <v>0</v>
      </c>
    </row>
    <row r="134" spans="1:5" x14ac:dyDescent="0.4">
      <c r="A134" s="30">
        <v>3201</v>
      </c>
      <c r="B134" s="31">
        <v>3</v>
      </c>
      <c r="C134" s="31">
        <v>1</v>
      </c>
      <c r="D134" s="31">
        <v>0</v>
      </c>
      <c r="E134" s="31">
        <v>0</v>
      </c>
    </row>
    <row r="135" spans="1:5" x14ac:dyDescent="0.4">
      <c r="A135" s="30">
        <v>3202</v>
      </c>
      <c r="B135" s="31">
        <v>3</v>
      </c>
      <c r="C135" s="31">
        <v>1</v>
      </c>
      <c r="D135" s="31">
        <v>0</v>
      </c>
      <c r="E135" s="31">
        <v>0</v>
      </c>
    </row>
    <row r="136" spans="1:5" x14ac:dyDescent="0.4">
      <c r="A136" s="30">
        <v>3203</v>
      </c>
      <c r="B136" s="31">
        <v>3</v>
      </c>
      <c r="C136" s="31">
        <v>1</v>
      </c>
      <c r="D136" s="31">
        <v>0</v>
      </c>
      <c r="E136" s="31">
        <v>0</v>
      </c>
    </row>
    <row r="137" spans="1:5" x14ac:dyDescent="0.4">
      <c r="A137" s="30">
        <v>3204</v>
      </c>
      <c r="B137" s="31">
        <v>3</v>
      </c>
      <c r="C137" s="31">
        <v>1</v>
      </c>
      <c r="D137" s="31">
        <v>0</v>
      </c>
      <c r="E137" s="31">
        <v>0</v>
      </c>
    </row>
    <row r="138" spans="1:5" x14ac:dyDescent="0.4">
      <c r="A138" s="30">
        <v>3205</v>
      </c>
      <c r="B138" s="31">
        <v>3</v>
      </c>
      <c r="C138" s="31">
        <v>1</v>
      </c>
      <c r="D138" s="31">
        <v>0</v>
      </c>
      <c r="E138" s="31">
        <v>0</v>
      </c>
    </row>
    <row r="139" spans="1:5" x14ac:dyDescent="0.4">
      <c r="A139" s="30">
        <v>3206</v>
      </c>
      <c r="B139" s="31">
        <v>3</v>
      </c>
      <c r="C139" s="31">
        <v>1</v>
      </c>
      <c r="D139" s="31">
        <v>0</v>
      </c>
      <c r="E139" s="31">
        <v>0</v>
      </c>
    </row>
    <row r="140" spans="1:5" x14ac:dyDescent="0.4">
      <c r="A140" s="30">
        <v>3207</v>
      </c>
      <c r="B140" s="31">
        <v>3</v>
      </c>
      <c r="C140" s="31">
        <v>1</v>
      </c>
      <c r="D140" s="31">
        <v>0</v>
      </c>
      <c r="E140" s="31">
        <v>0</v>
      </c>
    </row>
    <row r="141" spans="1:5" x14ac:dyDescent="0.4">
      <c r="A141" s="30">
        <v>3208</v>
      </c>
      <c r="B141" s="31">
        <v>3</v>
      </c>
      <c r="C141" s="31">
        <v>1</v>
      </c>
      <c r="D141" s="31">
        <v>0</v>
      </c>
      <c r="E141" s="31">
        <v>0</v>
      </c>
    </row>
    <row r="142" spans="1:5" x14ac:dyDescent="0.4">
      <c r="A142" s="30">
        <v>3209</v>
      </c>
      <c r="B142" s="31">
        <v>4</v>
      </c>
      <c r="C142" s="31">
        <v>1</v>
      </c>
      <c r="D142" s="31">
        <v>0</v>
      </c>
      <c r="E142" s="31">
        <v>0</v>
      </c>
    </row>
    <row r="143" spans="1:5" x14ac:dyDescent="0.4">
      <c r="A143" s="30">
        <v>3210</v>
      </c>
      <c r="B143" s="31">
        <v>4</v>
      </c>
      <c r="C143" s="31">
        <v>1</v>
      </c>
      <c r="D143" s="31">
        <v>0</v>
      </c>
      <c r="E143" s="31">
        <v>0</v>
      </c>
    </row>
    <row r="144" spans="1:5" x14ac:dyDescent="0.4">
      <c r="A144" s="30">
        <v>3211</v>
      </c>
      <c r="B144" s="31">
        <v>4</v>
      </c>
      <c r="C144" s="31">
        <v>1</v>
      </c>
      <c r="D144" s="31">
        <v>0</v>
      </c>
      <c r="E144" s="31">
        <v>0</v>
      </c>
    </row>
    <row r="145" spans="1:5" x14ac:dyDescent="0.4">
      <c r="A145" s="30">
        <v>3212</v>
      </c>
      <c r="B145" s="31">
        <v>4</v>
      </c>
      <c r="C145" s="31">
        <v>1</v>
      </c>
      <c r="D145" s="31">
        <v>0</v>
      </c>
      <c r="E145" s="31">
        <v>0</v>
      </c>
    </row>
    <row r="146" spans="1:5" x14ac:dyDescent="0.4">
      <c r="A146" s="30">
        <v>3303</v>
      </c>
      <c r="B146" s="31">
        <v>5</v>
      </c>
      <c r="C146" s="31">
        <v>1</v>
      </c>
      <c r="D146" s="31">
        <v>0</v>
      </c>
      <c r="E146" s="31">
        <v>0</v>
      </c>
    </row>
    <row r="147" spans="1:5" x14ac:dyDescent="0.4">
      <c r="A147" s="30">
        <v>3304</v>
      </c>
      <c r="B147" s="31">
        <v>5</v>
      </c>
      <c r="C147" s="31">
        <v>1</v>
      </c>
      <c r="D147" s="31">
        <v>0</v>
      </c>
      <c r="E147" s="31">
        <v>0</v>
      </c>
    </row>
    <row r="148" spans="1:5" x14ac:dyDescent="0.4">
      <c r="A148" s="30">
        <v>3305</v>
      </c>
      <c r="B148" s="31">
        <v>5</v>
      </c>
      <c r="C148" s="31">
        <v>1</v>
      </c>
      <c r="D148" s="31">
        <v>0</v>
      </c>
      <c r="E148" s="31">
        <v>0</v>
      </c>
    </row>
    <row r="149" spans="1:5" x14ac:dyDescent="0.4">
      <c r="A149" s="30">
        <v>3310</v>
      </c>
      <c r="B149" s="31">
        <v>3</v>
      </c>
      <c r="C149" s="31">
        <v>1</v>
      </c>
      <c r="D149" s="31">
        <v>0</v>
      </c>
      <c r="E149" s="31">
        <v>0</v>
      </c>
    </row>
    <row r="150" spans="1:5" x14ac:dyDescent="0.4">
      <c r="A150" s="30">
        <v>3311</v>
      </c>
      <c r="B150" s="31">
        <v>3</v>
      </c>
      <c r="C150" s="31">
        <v>1</v>
      </c>
      <c r="D150" s="31">
        <v>0</v>
      </c>
      <c r="E150" s="31">
        <v>0</v>
      </c>
    </row>
    <row r="151" spans="1:5" x14ac:dyDescent="0.4">
      <c r="A151" s="30">
        <v>3312</v>
      </c>
      <c r="B151" s="31">
        <v>3</v>
      </c>
      <c r="C151" s="31">
        <v>1</v>
      </c>
      <c r="D151" s="31">
        <v>0</v>
      </c>
      <c r="E151" s="31">
        <v>0</v>
      </c>
    </row>
    <row r="152" spans="1:5" x14ac:dyDescent="0.4">
      <c r="A152" s="30">
        <v>3313</v>
      </c>
      <c r="B152" s="31">
        <v>3</v>
      </c>
      <c r="C152" s="31">
        <v>1</v>
      </c>
      <c r="D152" s="31">
        <v>0</v>
      </c>
      <c r="E152" s="31">
        <v>0</v>
      </c>
    </row>
    <row r="153" spans="1:5" x14ac:dyDescent="0.4">
      <c r="A153" s="30">
        <v>3314</v>
      </c>
      <c r="B153" s="31">
        <v>3</v>
      </c>
      <c r="C153" s="31">
        <v>1</v>
      </c>
      <c r="D153" s="31">
        <v>0</v>
      </c>
      <c r="E153" s="31">
        <v>0</v>
      </c>
    </row>
    <row r="154" spans="1:5" x14ac:dyDescent="0.4">
      <c r="A154" s="30">
        <v>3401</v>
      </c>
      <c r="B154" s="31">
        <v>3</v>
      </c>
      <c r="C154" s="31">
        <v>1</v>
      </c>
      <c r="D154" s="31">
        <v>0</v>
      </c>
      <c r="E154" s="31">
        <v>0</v>
      </c>
    </row>
    <row r="155" spans="1:5" x14ac:dyDescent="0.4">
      <c r="A155" s="30">
        <v>3402</v>
      </c>
      <c r="B155" s="31">
        <v>3</v>
      </c>
      <c r="C155" s="31">
        <v>1</v>
      </c>
      <c r="D155" s="31">
        <v>0</v>
      </c>
      <c r="E155" s="31">
        <v>0</v>
      </c>
    </row>
    <row r="156" spans="1:5" x14ac:dyDescent="0.4">
      <c r="A156" s="30">
        <v>3404</v>
      </c>
      <c r="B156" s="31">
        <v>3</v>
      </c>
      <c r="C156" s="31">
        <v>1</v>
      </c>
      <c r="D156" s="31">
        <v>0</v>
      </c>
      <c r="E156" s="31">
        <v>0</v>
      </c>
    </row>
    <row r="157" spans="1:5" x14ac:dyDescent="0.4">
      <c r="A157" s="30">
        <v>3406</v>
      </c>
      <c r="B157" s="31">
        <v>3</v>
      </c>
      <c r="C157" s="31">
        <v>1</v>
      </c>
      <c r="D157" s="31">
        <v>0</v>
      </c>
      <c r="E157" s="31">
        <v>0</v>
      </c>
    </row>
    <row r="158" spans="1:5" x14ac:dyDescent="0.4">
      <c r="A158" s="30">
        <v>3407</v>
      </c>
      <c r="B158" s="31">
        <v>3</v>
      </c>
      <c r="C158" s="31">
        <v>1</v>
      </c>
      <c r="D158" s="31">
        <v>0</v>
      </c>
      <c r="E158" s="31">
        <v>0</v>
      </c>
    </row>
    <row r="159" spans="1:5" x14ac:dyDescent="0.4">
      <c r="A159" s="30">
        <v>3408</v>
      </c>
      <c r="B159" s="31">
        <v>3</v>
      </c>
      <c r="C159" s="31">
        <v>1</v>
      </c>
      <c r="D159" s="31">
        <v>0</v>
      </c>
      <c r="E159" s="31">
        <v>0</v>
      </c>
    </row>
    <row r="160" spans="1:5" x14ac:dyDescent="0.4">
      <c r="A160" s="30">
        <v>3409</v>
      </c>
      <c r="B160" s="31">
        <v>2</v>
      </c>
      <c r="C160" s="31">
        <v>1</v>
      </c>
      <c r="D160" s="31">
        <v>0</v>
      </c>
      <c r="E160" s="31">
        <v>0</v>
      </c>
    </row>
    <row r="161" spans="1:5" x14ac:dyDescent="0.4">
      <c r="A161" s="30">
        <v>3410</v>
      </c>
      <c r="B161" s="31">
        <v>3</v>
      </c>
      <c r="C161" s="31">
        <v>1</v>
      </c>
      <c r="D161" s="31">
        <v>0</v>
      </c>
      <c r="E161" s="31">
        <v>0</v>
      </c>
    </row>
    <row r="162" spans="1:5" x14ac:dyDescent="0.4">
      <c r="A162" s="30">
        <v>3411</v>
      </c>
      <c r="B162" s="31">
        <v>3</v>
      </c>
      <c r="C162" s="31">
        <v>1</v>
      </c>
      <c r="D162" s="31">
        <v>0</v>
      </c>
      <c r="E162" s="31">
        <v>0</v>
      </c>
    </row>
    <row r="163" spans="1:5" x14ac:dyDescent="0.4">
      <c r="A163" s="30">
        <v>3412</v>
      </c>
      <c r="B163" s="31">
        <v>3</v>
      </c>
      <c r="C163" s="31">
        <v>1</v>
      </c>
      <c r="D163" s="31">
        <v>0</v>
      </c>
      <c r="E163" s="31">
        <v>0</v>
      </c>
    </row>
    <row r="164" spans="1:5" x14ac:dyDescent="0.4">
      <c r="A164" s="30">
        <v>3413</v>
      </c>
      <c r="B164" s="31">
        <v>3</v>
      </c>
      <c r="C164" s="31">
        <v>1</v>
      </c>
      <c r="D164" s="31">
        <v>0</v>
      </c>
      <c r="E164" s="31">
        <v>0</v>
      </c>
    </row>
    <row r="165" spans="1:5" x14ac:dyDescent="0.4">
      <c r="A165" s="30">
        <v>3414</v>
      </c>
      <c r="B165" s="31">
        <v>3</v>
      </c>
      <c r="C165" s="31">
        <v>1</v>
      </c>
      <c r="D165" s="31">
        <v>0</v>
      </c>
      <c r="E165" s="31">
        <v>0</v>
      </c>
    </row>
    <row r="166" spans="1:5" x14ac:dyDescent="0.4">
      <c r="A166" s="30">
        <v>4101</v>
      </c>
      <c r="B166" s="31">
        <v>3</v>
      </c>
      <c r="C166" s="31">
        <v>1</v>
      </c>
      <c r="D166" s="31">
        <v>0</v>
      </c>
      <c r="E166" s="31">
        <v>0</v>
      </c>
    </row>
    <row r="167" spans="1:5" x14ac:dyDescent="0.4">
      <c r="A167" s="30">
        <v>4102</v>
      </c>
      <c r="B167" s="31">
        <v>2</v>
      </c>
      <c r="C167" s="31">
        <v>2</v>
      </c>
      <c r="D167" s="31">
        <v>0</v>
      </c>
      <c r="E167" s="31">
        <v>0</v>
      </c>
    </row>
    <row r="168" spans="1:5" x14ac:dyDescent="0.4">
      <c r="A168" s="30">
        <v>4103</v>
      </c>
      <c r="B168" s="31">
        <v>2</v>
      </c>
      <c r="C168" s="31">
        <v>2</v>
      </c>
      <c r="D168" s="31">
        <v>0</v>
      </c>
      <c r="E168" s="31">
        <v>0</v>
      </c>
    </row>
    <row r="169" spans="1:5" x14ac:dyDescent="0.4">
      <c r="A169" s="30">
        <v>4104</v>
      </c>
      <c r="B169" s="31">
        <v>3</v>
      </c>
      <c r="C169" s="31">
        <v>1</v>
      </c>
      <c r="D169" s="31">
        <v>0</v>
      </c>
      <c r="E169" s="31">
        <v>0</v>
      </c>
    </row>
    <row r="170" spans="1:5" x14ac:dyDescent="0.4">
      <c r="A170" s="30">
        <v>4106</v>
      </c>
      <c r="B170" s="31">
        <v>1</v>
      </c>
      <c r="C170" s="31">
        <v>2</v>
      </c>
      <c r="D170" s="31">
        <v>0</v>
      </c>
      <c r="E170" s="31">
        <v>0</v>
      </c>
    </row>
    <row r="171" spans="1:5" x14ac:dyDescent="0.4">
      <c r="A171" s="30">
        <v>4107</v>
      </c>
      <c r="B171" s="31">
        <v>1</v>
      </c>
      <c r="C171" s="31">
        <v>2</v>
      </c>
      <c r="D171" s="31">
        <v>0</v>
      </c>
      <c r="E171" s="31">
        <v>0</v>
      </c>
    </row>
    <row r="172" spans="1:5" x14ac:dyDescent="0.4">
      <c r="A172" s="30">
        <v>4108</v>
      </c>
      <c r="B172" s="31">
        <v>1</v>
      </c>
      <c r="C172" s="31">
        <v>2</v>
      </c>
      <c r="D172" s="31">
        <v>0</v>
      </c>
      <c r="E172" s="31">
        <v>0</v>
      </c>
    </row>
    <row r="173" spans="1:5" x14ac:dyDescent="0.4">
      <c r="A173" s="30">
        <v>4109</v>
      </c>
      <c r="B173" s="31">
        <v>1</v>
      </c>
      <c r="C173" s="31">
        <v>2</v>
      </c>
      <c r="D173" s="31">
        <v>0</v>
      </c>
      <c r="E173" s="31">
        <v>0</v>
      </c>
    </row>
    <row r="174" spans="1:5" x14ac:dyDescent="0.4">
      <c r="A174" s="30">
        <v>4110</v>
      </c>
      <c r="B174" s="31">
        <v>1</v>
      </c>
      <c r="C174" s="31">
        <v>2</v>
      </c>
      <c r="D174" s="31">
        <v>0</v>
      </c>
      <c r="E174" s="31">
        <v>0</v>
      </c>
    </row>
    <row r="175" spans="1:5" x14ac:dyDescent="0.4">
      <c r="A175" s="30">
        <v>4201</v>
      </c>
      <c r="B175" s="31">
        <v>3</v>
      </c>
      <c r="C175" s="31">
        <v>1</v>
      </c>
      <c r="D175" s="31">
        <v>0</v>
      </c>
      <c r="E175" s="31">
        <v>0</v>
      </c>
    </row>
    <row r="176" spans="1:5" x14ac:dyDescent="0.4">
      <c r="A176" s="30">
        <v>4202</v>
      </c>
      <c r="B176" s="31">
        <v>2</v>
      </c>
      <c r="C176" s="31">
        <v>2</v>
      </c>
      <c r="D176" s="31">
        <v>0</v>
      </c>
      <c r="E176" s="31">
        <v>0</v>
      </c>
    </row>
    <row r="177" spans="1:5" x14ac:dyDescent="0.4">
      <c r="A177" s="30">
        <v>4203</v>
      </c>
      <c r="B177" s="31">
        <v>2</v>
      </c>
      <c r="C177" s="31">
        <v>2</v>
      </c>
      <c r="D177" s="31">
        <v>0</v>
      </c>
      <c r="E177" s="31">
        <v>0</v>
      </c>
    </row>
    <row r="178" spans="1:5" x14ac:dyDescent="0.4">
      <c r="A178" s="30">
        <v>4204</v>
      </c>
      <c r="B178" s="31">
        <v>3</v>
      </c>
      <c r="C178" s="31">
        <v>1</v>
      </c>
      <c r="D178" s="31">
        <v>0</v>
      </c>
      <c r="E178" s="31">
        <v>0</v>
      </c>
    </row>
    <row r="179" spans="1:5" x14ac:dyDescent="0.4">
      <c r="A179" s="30">
        <v>4205</v>
      </c>
      <c r="B179" s="31">
        <v>1</v>
      </c>
      <c r="C179" s="31">
        <v>2</v>
      </c>
      <c r="D179" s="31">
        <v>0</v>
      </c>
      <c r="E179" s="31">
        <v>0</v>
      </c>
    </row>
    <row r="180" spans="1:5" x14ac:dyDescent="0.4">
      <c r="A180" s="30">
        <v>4206</v>
      </c>
      <c r="B180" s="31">
        <v>1</v>
      </c>
      <c r="C180" s="31">
        <v>2</v>
      </c>
      <c r="D180" s="31">
        <v>0</v>
      </c>
      <c r="E180" s="31">
        <v>0</v>
      </c>
    </row>
    <row r="181" spans="1:5" x14ac:dyDescent="0.4">
      <c r="A181" s="30">
        <v>4207</v>
      </c>
      <c r="B181" s="31">
        <v>1</v>
      </c>
      <c r="C181" s="31">
        <v>2</v>
      </c>
      <c r="D181" s="31">
        <v>0</v>
      </c>
      <c r="E181" s="31">
        <v>0</v>
      </c>
    </row>
    <row r="182" spans="1:5" x14ac:dyDescent="0.4">
      <c r="A182" s="30">
        <v>4208</v>
      </c>
      <c r="B182" s="31">
        <v>1</v>
      </c>
      <c r="C182" s="31">
        <v>2</v>
      </c>
      <c r="D182" s="31">
        <v>0</v>
      </c>
      <c r="E182" s="31">
        <v>0</v>
      </c>
    </row>
    <row r="183" spans="1:5" x14ac:dyDescent="0.4">
      <c r="A183" s="30">
        <v>4209</v>
      </c>
      <c r="B183" s="31">
        <v>1</v>
      </c>
      <c r="C183" s="31">
        <v>2</v>
      </c>
      <c r="D183" s="31">
        <v>0</v>
      </c>
      <c r="E183" s="31">
        <v>0</v>
      </c>
    </row>
    <row r="184" spans="1:5" x14ac:dyDescent="0.4">
      <c r="A184" s="30">
        <v>4301</v>
      </c>
      <c r="B184" s="31">
        <v>3</v>
      </c>
      <c r="C184" s="31">
        <v>1</v>
      </c>
      <c r="D184" s="31">
        <v>0</v>
      </c>
      <c r="E184" s="31">
        <v>0</v>
      </c>
    </row>
    <row r="185" spans="1:5" x14ac:dyDescent="0.4">
      <c r="A185" s="30">
        <v>4302</v>
      </c>
      <c r="B185" s="31">
        <v>2</v>
      </c>
      <c r="C185" s="31">
        <v>2</v>
      </c>
      <c r="D185" s="31">
        <v>0</v>
      </c>
      <c r="E185" s="31">
        <v>0</v>
      </c>
    </row>
    <row r="186" spans="1:5" x14ac:dyDescent="0.4">
      <c r="A186" s="30">
        <v>4303</v>
      </c>
      <c r="B186" s="31">
        <v>2</v>
      </c>
      <c r="C186" s="31">
        <v>2</v>
      </c>
      <c r="D186" s="31">
        <v>0</v>
      </c>
      <c r="E186" s="31">
        <v>0</v>
      </c>
    </row>
    <row r="187" spans="1:5" x14ac:dyDescent="0.4">
      <c r="A187" s="30">
        <v>4304</v>
      </c>
      <c r="B187" s="31">
        <v>3</v>
      </c>
      <c r="C187" s="31">
        <v>1</v>
      </c>
      <c r="D187" s="31">
        <v>0</v>
      </c>
      <c r="E187" s="31">
        <v>0</v>
      </c>
    </row>
    <row r="188" spans="1:5" x14ac:dyDescent="0.4">
      <c r="A188" s="30">
        <v>4305</v>
      </c>
      <c r="B188" s="31">
        <v>1</v>
      </c>
      <c r="C188" s="31">
        <v>2</v>
      </c>
      <c r="D188" s="31">
        <v>0</v>
      </c>
      <c r="E188" s="31">
        <v>0</v>
      </c>
    </row>
    <row r="189" spans="1:5" x14ac:dyDescent="0.4">
      <c r="A189" s="30">
        <v>4306</v>
      </c>
      <c r="B189" s="31">
        <v>1</v>
      </c>
      <c r="C189" s="31">
        <v>2</v>
      </c>
      <c r="D189" s="31">
        <v>0</v>
      </c>
      <c r="E189" s="31">
        <v>0</v>
      </c>
    </row>
    <row r="190" spans="1:5" x14ac:dyDescent="0.4">
      <c r="A190" s="30">
        <v>4308</v>
      </c>
      <c r="B190" s="31">
        <v>1</v>
      </c>
      <c r="C190" s="31">
        <v>2</v>
      </c>
      <c r="D190" s="31">
        <v>0</v>
      </c>
      <c r="E190" s="31">
        <v>0</v>
      </c>
    </row>
    <row r="191" spans="1:5" x14ac:dyDescent="0.4">
      <c r="A191" s="30">
        <v>4309</v>
      </c>
      <c r="B191" s="31">
        <v>1</v>
      </c>
      <c r="C191" s="31">
        <v>2</v>
      </c>
      <c r="D191" s="31">
        <v>0</v>
      </c>
      <c r="E191" s="31">
        <v>0</v>
      </c>
    </row>
    <row r="192" spans="1:5" x14ac:dyDescent="0.4">
      <c r="A192" s="30">
        <v>4310</v>
      </c>
      <c r="B192" s="31">
        <v>1</v>
      </c>
      <c r="C192" s="31">
        <v>2</v>
      </c>
      <c r="D192" s="31">
        <v>0</v>
      </c>
      <c r="E192" s="31">
        <v>0</v>
      </c>
    </row>
    <row r="193" spans="1:5" x14ac:dyDescent="0.4">
      <c r="A193" s="30">
        <v>4401</v>
      </c>
      <c r="B193" s="31">
        <v>3</v>
      </c>
      <c r="C193" s="31">
        <v>1</v>
      </c>
      <c r="D193" s="31">
        <v>0</v>
      </c>
      <c r="E193" s="31">
        <v>0</v>
      </c>
    </row>
    <row r="194" spans="1:5" x14ac:dyDescent="0.4">
      <c r="A194" s="30">
        <v>4402</v>
      </c>
      <c r="B194" s="31">
        <v>2</v>
      </c>
      <c r="C194" s="31">
        <v>2</v>
      </c>
      <c r="D194" s="31">
        <v>0</v>
      </c>
      <c r="E194" s="31">
        <v>0</v>
      </c>
    </row>
    <row r="195" spans="1:5" x14ac:dyDescent="0.4">
      <c r="A195" s="30">
        <v>4403</v>
      </c>
      <c r="B195" s="31">
        <v>2</v>
      </c>
      <c r="C195" s="31">
        <v>2</v>
      </c>
      <c r="D195" s="31">
        <v>0</v>
      </c>
      <c r="E195" s="31">
        <v>0</v>
      </c>
    </row>
    <row r="196" spans="1:5" x14ac:dyDescent="0.4">
      <c r="A196" s="30">
        <v>4404</v>
      </c>
      <c r="B196" s="31">
        <v>3</v>
      </c>
      <c r="C196" s="31">
        <v>1</v>
      </c>
      <c r="D196" s="31">
        <v>0</v>
      </c>
      <c r="E196" s="31">
        <v>0</v>
      </c>
    </row>
    <row r="197" spans="1:5" x14ac:dyDescent="0.4">
      <c r="A197" s="30">
        <v>4405</v>
      </c>
      <c r="B197" s="31">
        <v>1</v>
      </c>
      <c r="C197" s="31">
        <v>2</v>
      </c>
      <c r="D197" s="31">
        <v>0</v>
      </c>
      <c r="E197" s="31">
        <v>0</v>
      </c>
    </row>
    <row r="198" spans="1:5" x14ac:dyDescent="0.4">
      <c r="A198" s="30">
        <v>4406</v>
      </c>
      <c r="B198" s="31">
        <v>1</v>
      </c>
      <c r="C198" s="31">
        <v>2</v>
      </c>
      <c r="D198" s="31">
        <v>0</v>
      </c>
      <c r="E198" s="31">
        <v>0</v>
      </c>
    </row>
    <row r="199" spans="1:5" x14ac:dyDescent="0.4">
      <c r="A199" s="30">
        <v>4407</v>
      </c>
      <c r="B199" s="31">
        <v>1</v>
      </c>
      <c r="C199" s="31">
        <v>2</v>
      </c>
      <c r="D199" s="31">
        <v>0</v>
      </c>
      <c r="E199" s="31">
        <v>0</v>
      </c>
    </row>
    <row r="200" spans="1:5" x14ac:dyDescent="0.4">
      <c r="A200" s="30">
        <v>4408</v>
      </c>
      <c r="B200" s="31">
        <v>1</v>
      </c>
      <c r="C200" s="31">
        <v>2</v>
      </c>
      <c r="D200" s="31">
        <v>0</v>
      </c>
      <c r="E200" s="31">
        <v>0</v>
      </c>
    </row>
    <row r="201" spans="1:5" x14ac:dyDescent="0.4">
      <c r="A201" s="30">
        <v>4409</v>
      </c>
      <c r="B201" s="31">
        <v>1</v>
      </c>
      <c r="C201" s="31">
        <v>2</v>
      </c>
      <c r="D201" s="31">
        <v>0</v>
      </c>
      <c r="E201" s="31">
        <v>0</v>
      </c>
    </row>
    <row r="202" spans="1:5" x14ac:dyDescent="0.4">
      <c r="A202" s="30">
        <v>4410</v>
      </c>
      <c r="B202" s="31">
        <v>1</v>
      </c>
      <c r="C202" s="31">
        <v>2</v>
      </c>
      <c r="D202" s="31">
        <v>0</v>
      </c>
      <c r="E202" s="31">
        <v>0</v>
      </c>
    </row>
    <row r="203" spans="1:5" x14ac:dyDescent="0.4">
      <c r="A203" s="30">
        <v>5101</v>
      </c>
      <c r="B203" s="31">
        <v>4</v>
      </c>
      <c r="C203" s="31">
        <v>1</v>
      </c>
      <c r="D203" s="31">
        <v>0</v>
      </c>
      <c r="E203" s="31">
        <v>0</v>
      </c>
    </row>
    <row r="204" spans="1:5" x14ac:dyDescent="0.4">
      <c r="A204" s="30">
        <v>5102</v>
      </c>
      <c r="B204" s="31">
        <v>4</v>
      </c>
      <c r="C204" s="31">
        <v>1</v>
      </c>
      <c r="D204" s="31">
        <v>0</v>
      </c>
      <c r="E204" s="31">
        <v>0</v>
      </c>
    </row>
    <row r="205" spans="1:5" x14ac:dyDescent="0.4">
      <c r="A205" s="30">
        <v>5103</v>
      </c>
      <c r="B205" s="31">
        <v>4</v>
      </c>
      <c r="C205" s="31">
        <v>1</v>
      </c>
      <c r="D205" s="31">
        <v>0</v>
      </c>
      <c r="E205" s="31">
        <v>0</v>
      </c>
    </row>
    <row r="206" spans="1:5" x14ac:dyDescent="0.4">
      <c r="A206" s="30">
        <v>5105</v>
      </c>
      <c r="B206" s="31">
        <v>4</v>
      </c>
      <c r="C206" s="31">
        <v>1</v>
      </c>
      <c r="D206" s="31">
        <v>0</v>
      </c>
      <c r="E206" s="31">
        <v>0</v>
      </c>
    </row>
    <row r="207" spans="1:5" x14ac:dyDescent="0.4">
      <c r="A207" s="30">
        <v>5106</v>
      </c>
      <c r="B207" s="31">
        <v>4</v>
      </c>
      <c r="C207" s="31">
        <v>1</v>
      </c>
      <c r="D207" s="31">
        <v>0</v>
      </c>
      <c r="E207" s="31">
        <v>0</v>
      </c>
    </row>
    <row r="208" spans="1:5" x14ac:dyDescent="0.4">
      <c r="A208" s="30">
        <v>5107</v>
      </c>
      <c r="B208" s="31">
        <v>4</v>
      </c>
      <c r="C208" s="31">
        <v>1</v>
      </c>
      <c r="D208" s="31">
        <v>0</v>
      </c>
      <c r="E208" s="31">
        <v>0</v>
      </c>
    </row>
    <row r="209" spans="1:5" x14ac:dyDescent="0.4">
      <c r="A209" s="30">
        <v>5108</v>
      </c>
      <c r="B209" s="31">
        <v>4</v>
      </c>
      <c r="C209" s="31">
        <v>1</v>
      </c>
      <c r="D209" s="31">
        <v>0</v>
      </c>
      <c r="E209" s="31">
        <v>0</v>
      </c>
    </row>
    <row r="210" spans="1:5" x14ac:dyDescent="0.4">
      <c r="A210" s="30">
        <v>5110</v>
      </c>
      <c r="B210" s="31">
        <v>4</v>
      </c>
      <c r="C210" s="31">
        <v>1</v>
      </c>
      <c r="D210" s="31">
        <v>0</v>
      </c>
      <c r="E210" s="31">
        <v>0</v>
      </c>
    </row>
    <row r="211" spans="1:5" x14ac:dyDescent="0.4">
      <c r="A211" s="30">
        <v>5111</v>
      </c>
      <c r="B211" s="31">
        <v>4</v>
      </c>
      <c r="C211" s="31">
        <v>1</v>
      </c>
      <c r="D211" s="31">
        <v>0</v>
      </c>
      <c r="E211" s="31">
        <v>0</v>
      </c>
    </row>
    <row r="212" spans="1:5" x14ac:dyDescent="0.4">
      <c r="A212" s="30">
        <v>5112</v>
      </c>
      <c r="B212" s="31">
        <v>4</v>
      </c>
      <c r="C212" s="31">
        <v>1</v>
      </c>
      <c r="D212" s="31">
        <v>0</v>
      </c>
      <c r="E212" s="31">
        <v>0</v>
      </c>
    </row>
    <row r="213" spans="1:5" x14ac:dyDescent="0.4">
      <c r="A213" s="30">
        <v>5113</v>
      </c>
      <c r="B213" s="31">
        <v>4</v>
      </c>
      <c r="C213" s="31">
        <v>1</v>
      </c>
      <c r="D213" s="31">
        <v>0</v>
      </c>
      <c r="E213" s="31">
        <v>0</v>
      </c>
    </row>
    <row r="214" spans="1:5" x14ac:dyDescent="0.4">
      <c r="A214" s="30">
        <v>5114</v>
      </c>
      <c r="B214" s="31">
        <v>4</v>
      </c>
      <c r="C214" s="31">
        <v>1</v>
      </c>
      <c r="D214" s="31">
        <v>0</v>
      </c>
      <c r="E214" s="31">
        <v>0</v>
      </c>
    </row>
    <row r="215" spans="1:5" x14ac:dyDescent="0.4">
      <c r="A215" s="30">
        <v>5115</v>
      </c>
      <c r="B215" s="31">
        <v>4</v>
      </c>
      <c r="C215" s="31">
        <v>1</v>
      </c>
      <c r="D215" s="31">
        <v>0</v>
      </c>
      <c r="E215" s="31">
        <v>0</v>
      </c>
    </row>
    <row r="216" spans="1:5" x14ac:dyDescent="0.4">
      <c r="A216" s="30">
        <v>5201</v>
      </c>
      <c r="B216" s="31">
        <v>5</v>
      </c>
      <c r="C216" s="31">
        <v>1</v>
      </c>
      <c r="D216" s="31">
        <v>0</v>
      </c>
      <c r="E216" s="31">
        <v>0</v>
      </c>
    </row>
    <row r="217" spans="1:5" x14ac:dyDescent="0.4">
      <c r="A217" s="30">
        <v>5202</v>
      </c>
      <c r="B217" s="31">
        <v>5</v>
      </c>
      <c r="C217" s="31">
        <v>1</v>
      </c>
      <c r="D217" s="31">
        <v>0</v>
      </c>
      <c r="E217" s="31">
        <v>0</v>
      </c>
    </row>
    <row r="218" spans="1:5" x14ac:dyDescent="0.4">
      <c r="A218" s="30">
        <v>5203</v>
      </c>
      <c r="B218" s="31">
        <v>5</v>
      </c>
      <c r="C218" s="31">
        <v>1</v>
      </c>
      <c r="D218" s="31">
        <v>0</v>
      </c>
      <c r="E218" s="31">
        <v>0</v>
      </c>
    </row>
    <row r="219" spans="1:5" x14ac:dyDescent="0.4">
      <c r="A219" s="30">
        <v>5204</v>
      </c>
      <c r="B219" s="31">
        <v>5</v>
      </c>
      <c r="C219" s="31">
        <v>1</v>
      </c>
      <c r="D219" s="31">
        <v>0</v>
      </c>
      <c r="E219" s="31">
        <v>0</v>
      </c>
    </row>
    <row r="220" spans="1:5" x14ac:dyDescent="0.4">
      <c r="A220" s="30">
        <v>5205</v>
      </c>
      <c r="B220" s="31">
        <v>5</v>
      </c>
      <c r="C220" s="31">
        <v>1</v>
      </c>
      <c r="D220" s="31">
        <v>0</v>
      </c>
      <c r="E220" s="31">
        <v>0</v>
      </c>
    </row>
    <row r="221" spans="1:5" x14ac:dyDescent="0.4">
      <c r="A221" s="30">
        <v>5206</v>
      </c>
      <c r="B221" s="31">
        <v>5</v>
      </c>
      <c r="C221" s="31">
        <v>1</v>
      </c>
      <c r="D221" s="31">
        <v>0</v>
      </c>
      <c r="E221" s="31">
        <v>0</v>
      </c>
    </row>
    <row r="222" spans="1:5" x14ac:dyDescent="0.4">
      <c r="A222" s="30">
        <v>5208</v>
      </c>
      <c r="B222" s="31">
        <v>5</v>
      </c>
      <c r="C222" s="31">
        <v>1</v>
      </c>
      <c r="D222" s="31">
        <v>0</v>
      </c>
      <c r="E222" s="31">
        <v>0</v>
      </c>
    </row>
    <row r="223" spans="1:5" x14ac:dyDescent="0.4">
      <c r="A223" s="30">
        <v>5209</v>
      </c>
      <c r="B223" s="31">
        <v>5</v>
      </c>
      <c r="C223" s="31">
        <v>1</v>
      </c>
      <c r="D223" s="31">
        <v>0</v>
      </c>
      <c r="E223" s="31">
        <v>0</v>
      </c>
    </row>
    <row r="224" spans="1:5" x14ac:dyDescent="0.4">
      <c r="A224" s="30">
        <v>5210</v>
      </c>
      <c r="B224" s="31">
        <v>5</v>
      </c>
      <c r="C224" s="31">
        <v>1</v>
      </c>
      <c r="D224" s="31">
        <v>0</v>
      </c>
      <c r="E224" s="31">
        <v>0</v>
      </c>
    </row>
    <row r="225" spans="1:5" x14ac:dyDescent="0.4">
      <c r="A225" s="30">
        <v>5211</v>
      </c>
      <c r="B225" s="31">
        <v>5</v>
      </c>
      <c r="C225" s="31">
        <v>1</v>
      </c>
      <c r="D225" s="31">
        <v>0</v>
      </c>
      <c r="E225" s="31">
        <v>0</v>
      </c>
    </row>
    <row r="226" spans="1:5" x14ac:dyDescent="0.4">
      <c r="A226" s="30">
        <v>5212</v>
      </c>
      <c r="B226" s="31">
        <v>5</v>
      </c>
      <c r="C226" s="31">
        <v>1</v>
      </c>
      <c r="D226" s="31">
        <v>0</v>
      </c>
      <c r="E226" s="31">
        <v>0</v>
      </c>
    </row>
    <row r="227" spans="1:5" x14ac:dyDescent="0.4">
      <c r="A227" s="30">
        <v>5213</v>
      </c>
      <c r="B227" s="31">
        <v>5</v>
      </c>
      <c r="C227" s="31">
        <v>1</v>
      </c>
      <c r="D227" s="31">
        <v>0</v>
      </c>
      <c r="E227" s="31">
        <v>0</v>
      </c>
    </row>
    <row r="228" spans="1:5" x14ac:dyDescent="0.4">
      <c r="A228" s="30">
        <v>5214</v>
      </c>
      <c r="B228" s="31">
        <v>5</v>
      </c>
      <c r="C228" s="31">
        <v>1</v>
      </c>
      <c r="D228" s="31">
        <v>0</v>
      </c>
      <c r="E228" s="31">
        <v>0</v>
      </c>
    </row>
    <row r="229" spans="1:5" x14ac:dyDescent="0.4">
      <c r="A229" s="30">
        <v>5215</v>
      </c>
      <c r="B229" s="31">
        <v>5</v>
      </c>
      <c r="C229" s="31">
        <v>1</v>
      </c>
      <c r="D229" s="31">
        <v>0</v>
      </c>
      <c r="E229" s="31">
        <v>0</v>
      </c>
    </row>
    <row r="230" spans="1:5" x14ac:dyDescent="0.4">
      <c r="A230" s="30">
        <v>5216</v>
      </c>
      <c r="B230" s="31">
        <v>5</v>
      </c>
      <c r="C230" s="31">
        <v>1</v>
      </c>
      <c r="D230" s="31">
        <v>0</v>
      </c>
      <c r="E230" s="31">
        <v>0</v>
      </c>
    </row>
    <row r="231" spans="1:5" x14ac:dyDescent="0.4">
      <c r="A231" s="30">
        <v>5217</v>
      </c>
      <c r="B231" s="31">
        <v>5</v>
      </c>
      <c r="C231" s="31">
        <v>1</v>
      </c>
      <c r="D231" s="31">
        <v>0</v>
      </c>
      <c r="E231" s="31">
        <v>0</v>
      </c>
    </row>
    <row r="232" spans="1:5" x14ac:dyDescent="0.4">
      <c r="A232" s="30">
        <v>5218</v>
      </c>
      <c r="B232" s="31">
        <v>5</v>
      </c>
      <c r="C232" s="31">
        <v>1</v>
      </c>
      <c r="D232" s="31">
        <v>0</v>
      </c>
      <c r="E232" s="31">
        <v>0</v>
      </c>
    </row>
    <row r="233" spans="1:5" x14ac:dyDescent="0.4">
      <c r="A233" s="30">
        <v>5219</v>
      </c>
      <c r="B233" s="31">
        <v>5</v>
      </c>
      <c r="C233" s="31">
        <v>1</v>
      </c>
      <c r="D233" s="31">
        <v>0</v>
      </c>
      <c r="E233" s="31">
        <v>0</v>
      </c>
    </row>
    <row r="234" spans="1:5" x14ac:dyDescent="0.4">
      <c r="A234" s="30">
        <v>5220</v>
      </c>
      <c r="B234" s="31">
        <v>5</v>
      </c>
      <c r="C234" s="31">
        <v>1</v>
      </c>
      <c r="D234" s="31">
        <v>0</v>
      </c>
      <c r="E234" s="31">
        <v>0</v>
      </c>
    </row>
    <row r="235" spans="1:5" x14ac:dyDescent="0.4">
      <c r="A235" s="30">
        <v>5221</v>
      </c>
      <c r="B235" s="31">
        <v>5</v>
      </c>
      <c r="C235" s="31">
        <v>1</v>
      </c>
      <c r="D235" s="31">
        <v>0</v>
      </c>
      <c r="E235" s="31">
        <v>0</v>
      </c>
    </row>
    <row r="236" spans="1:5" x14ac:dyDescent="0.4">
      <c r="A236" s="30">
        <v>5222</v>
      </c>
      <c r="B236" s="31">
        <v>5</v>
      </c>
      <c r="C236" s="31">
        <v>1</v>
      </c>
      <c r="D236" s="31">
        <v>0</v>
      </c>
      <c r="E236" s="31">
        <v>0</v>
      </c>
    </row>
    <row r="237" spans="1:5" x14ac:dyDescent="0.4">
      <c r="A237" s="30">
        <v>5224</v>
      </c>
      <c r="B237" s="31">
        <v>5</v>
      </c>
      <c r="C237" s="31">
        <v>1</v>
      </c>
      <c r="D237" s="31">
        <v>0</v>
      </c>
      <c r="E237" s="31">
        <v>0</v>
      </c>
    </row>
    <row r="238" spans="1:5" x14ac:dyDescent="0.4">
      <c r="A238" s="30">
        <v>5301</v>
      </c>
      <c r="B238" s="31">
        <v>4</v>
      </c>
      <c r="C238" s="31">
        <v>1</v>
      </c>
      <c r="D238" s="31">
        <v>0</v>
      </c>
      <c r="E238" s="31">
        <v>0</v>
      </c>
    </row>
    <row r="239" spans="1:5" x14ac:dyDescent="0.4">
      <c r="A239" s="30">
        <v>5302</v>
      </c>
      <c r="B239" s="31">
        <v>4</v>
      </c>
      <c r="C239" s="31">
        <v>1</v>
      </c>
      <c r="D239" s="31">
        <v>0</v>
      </c>
      <c r="E239" s="31">
        <v>0</v>
      </c>
    </row>
    <row r="240" spans="1:5" x14ac:dyDescent="0.4">
      <c r="A240" s="30">
        <v>5303</v>
      </c>
      <c r="B240" s="31">
        <v>4</v>
      </c>
      <c r="C240" s="31">
        <v>1</v>
      </c>
      <c r="D240" s="31">
        <v>0</v>
      </c>
      <c r="E240" s="31">
        <v>0</v>
      </c>
    </row>
    <row r="241" spans="1:5" x14ac:dyDescent="0.4">
      <c r="A241" s="30">
        <v>5304</v>
      </c>
      <c r="B241" s="31">
        <v>4</v>
      </c>
      <c r="C241" s="31">
        <v>1</v>
      </c>
      <c r="D241" s="31">
        <v>0</v>
      </c>
      <c r="E241" s="31">
        <v>0</v>
      </c>
    </row>
    <row r="242" spans="1:5" x14ac:dyDescent="0.4">
      <c r="A242" s="30">
        <v>5305</v>
      </c>
      <c r="B242" s="31">
        <v>4</v>
      </c>
      <c r="C242" s="31">
        <v>1</v>
      </c>
      <c r="D242" s="31">
        <v>0</v>
      </c>
      <c r="E242" s="31">
        <v>0</v>
      </c>
    </row>
    <row r="243" spans="1:5" x14ac:dyDescent="0.4">
      <c r="A243" s="30">
        <v>5306</v>
      </c>
      <c r="B243" s="31">
        <v>4</v>
      </c>
      <c r="C243" s="31">
        <v>1</v>
      </c>
      <c r="D243" s="31">
        <v>0</v>
      </c>
      <c r="E243" s="31">
        <v>0</v>
      </c>
    </row>
    <row r="244" spans="1:5" x14ac:dyDescent="0.4">
      <c r="A244" s="30">
        <v>5307</v>
      </c>
      <c r="B244" s="31">
        <v>4</v>
      </c>
      <c r="C244" s="31">
        <v>1</v>
      </c>
      <c r="D244" s="31">
        <v>0</v>
      </c>
      <c r="E244" s="31">
        <v>0</v>
      </c>
    </row>
    <row r="245" spans="1:5" x14ac:dyDescent="0.4">
      <c r="A245" s="30">
        <v>5309</v>
      </c>
      <c r="B245" s="31">
        <v>4</v>
      </c>
      <c r="C245" s="31">
        <v>1</v>
      </c>
      <c r="D245" s="31">
        <v>0</v>
      </c>
      <c r="E245" s="31">
        <v>0</v>
      </c>
    </row>
    <row r="246" spans="1:5" x14ac:dyDescent="0.4">
      <c r="A246" s="30">
        <v>5310</v>
      </c>
      <c r="B246" s="31">
        <v>4</v>
      </c>
      <c r="C246" s="31">
        <v>1</v>
      </c>
      <c r="D246" s="31">
        <v>0</v>
      </c>
      <c r="E246" s="31">
        <v>0</v>
      </c>
    </row>
    <row r="247" spans="1:5" x14ac:dyDescent="0.4">
      <c r="A247" s="30">
        <v>5311</v>
      </c>
      <c r="B247" s="31">
        <v>4</v>
      </c>
      <c r="C247" s="31">
        <v>1</v>
      </c>
      <c r="D247" s="31">
        <v>0</v>
      </c>
      <c r="E247" s="31">
        <v>0</v>
      </c>
    </row>
    <row r="248" spans="1:5" x14ac:dyDescent="0.4">
      <c r="A248" s="30">
        <v>5312</v>
      </c>
      <c r="B248" s="31">
        <v>4</v>
      </c>
      <c r="C248" s="31">
        <v>1</v>
      </c>
      <c r="D248" s="31">
        <v>0</v>
      </c>
      <c r="E248" s="31">
        <v>0</v>
      </c>
    </row>
    <row r="249" spans="1:5" x14ac:dyDescent="0.4">
      <c r="A249" s="30">
        <v>5313</v>
      </c>
      <c r="B249" s="31">
        <v>4</v>
      </c>
      <c r="C249" s="31">
        <v>1</v>
      </c>
      <c r="D249" s="31">
        <v>0</v>
      </c>
      <c r="E249" s="31">
        <v>0</v>
      </c>
    </row>
    <row r="250" spans="1:5" x14ac:dyDescent="0.4">
      <c r="A250" s="30">
        <v>5314</v>
      </c>
      <c r="B250" s="31">
        <v>4</v>
      </c>
      <c r="C250" s="31">
        <v>1</v>
      </c>
      <c r="D250" s="31">
        <v>0</v>
      </c>
      <c r="E250" s="31">
        <v>0</v>
      </c>
    </row>
    <row r="251" spans="1:5" x14ac:dyDescent="0.4">
      <c r="A251" s="30">
        <v>5315</v>
      </c>
      <c r="B251" s="31">
        <v>4</v>
      </c>
      <c r="C251" s="31">
        <v>1</v>
      </c>
      <c r="D251" s="31">
        <v>0</v>
      </c>
      <c r="E251" s="31">
        <v>0</v>
      </c>
    </row>
    <row r="252" spans="1:5" x14ac:dyDescent="0.4">
      <c r="A252" s="30">
        <v>5316</v>
      </c>
      <c r="B252" s="31">
        <v>4</v>
      </c>
      <c r="C252" s="31">
        <v>1</v>
      </c>
      <c r="D252" s="31">
        <v>0</v>
      </c>
      <c r="E252" s="31">
        <v>0</v>
      </c>
    </row>
    <row r="253" spans="1:5" x14ac:dyDescent="0.4">
      <c r="A253" s="30">
        <v>5317</v>
      </c>
      <c r="B253" s="31">
        <v>4</v>
      </c>
      <c r="C253" s="31">
        <v>1</v>
      </c>
      <c r="D253" s="31">
        <v>0</v>
      </c>
      <c r="E253" s="31">
        <v>0</v>
      </c>
    </row>
    <row r="254" spans="1:5" x14ac:dyDescent="0.4">
      <c r="A254" s="30">
        <v>5318</v>
      </c>
      <c r="B254" s="31">
        <v>4</v>
      </c>
      <c r="C254" s="31">
        <v>1</v>
      </c>
      <c r="D254" s="31">
        <v>0</v>
      </c>
      <c r="E254" s="31">
        <v>0</v>
      </c>
    </row>
    <row r="255" spans="1:5" x14ac:dyDescent="0.4">
      <c r="A255" s="30">
        <v>5319</v>
      </c>
      <c r="B255" s="31">
        <v>4</v>
      </c>
      <c r="C255" s="31">
        <v>1</v>
      </c>
      <c r="D255" s="31">
        <v>0</v>
      </c>
      <c r="E255" s="31">
        <v>0</v>
      </c>
    </row>
    <row r="256" spans="1:5" x14ac:dyDescent="0.4">
      <c r="A256" s="30">
        <v>5320</v>
      </c>
      <c r="B256" s="31">
        <v>4</v>
      </c>
      <c r="C256" s="31">
        <v>1</v>
      </c>
      <c r="D256" s="31">
        <v>0</v>
      </c>
      <c r="E256" s="31">
        <v>0</v>
      </c>
    </row>
    <row r="257" spans="1:5" x14ac:dyDescent="0.4">
      <c r="A257" s="30">
        <v>5322</v>
      </c>
      <c r="B257" s="31">
        <v>4</v>
      </c>
      <c r="C257" s="31">
        <v>1</v>
      </c>
      <c r="D257" s="31">
        <v>0</v>
      </c>
      <c r="E257" s="31">
        <v>0</v>
      </c>
    </row>
    <row r="258" spans="1:5" x14ac:dyDescent="0.4">
      <c r="A258" s="30">
        <v>5323</v>
      </c>
      <c r="B258" s="31">
        <v>4</v>
      </c>
      <c r="C258" s="31">
        <v>1</v>
      </c>
      <c r="D258" s="31">
        <v>0</v>
      </c>
      <c r="E258" s="31">
        <v>0</v>
      </c>
    </row>
    <row r="259" spans="1:5" x14ac:dyDescent="0.4">
      <c r="A259" s="30">
        <v>5324</v>
      </c>
      <c r="B259" s="31">
        <v>4</v>
      </c>
      <c r="C259" s="31">
        <v>1</v>
      </c>
      <c r="D259" s="31">
        <v>0</v>
      </c>
      <c r="E259" s="31">
        <v>0</v>
      </c>
    </row>
    <row r="260" spans="1:5" x14ac:dyDescent="0.4">
      <c r="A260" s="30">
        <v>5401</v>
      </c>
      <c r="B260" s="31">
        <v>5</v>
      </c>
      <c r="C260" s="31">
        <v>1</v>
      </c>
      <c r="D260" s="31">
        <v>0</v>
      </c>
      <c r="E260" s="31">
        <v>0</v>
      </c>
    </row>
    <row r="261" spans="1:5" x14ac:dyDescent="0.4">
      <c r="A261" s="30">
        <v>5402</v>
      </c>
      <c r="B261" s="31">
        <v>5</v>
      </c>
      <c r="C261" s="31">
        <v>1</v>
      </c>
      <c r="D261" s="31">
        <v>0</v>
      </c>
      <c r="E261" s="31">
        <v>0</v>
      </c>
    </row>
    <row r="262" spans="1:5" x14ac:dyDescent="0.4">
      <c r="A262" s="30">
        <v>5404</v>
      </c>
      <c r="B262" s="31">
        <v>5</v>
      </c>
      <c r="C262" s="31">
        <v>1</v>
      </c>
      <c r="D262" s="31">
        <v>0</v>
      </c>
      <c r="E262" s="31">
        <v>0</v>
      </c>
    </row>
    <row r="263" spans="1:5" x14ac:dyDescent="0.4">
      <c r="A263" s="30">
        <v>5405</v>
      </c>
      <c r="B263" s="31">
        <v>5</v>
      </c>
      <c r="C263" s="31">
        <v>1</v>
      </c>
      <c r="D263" s="31">
        <v>0</v>
      </c>
      <c r="E263" s="31">
        <v>0</v>
      </c>
    </row>
    <row r="264" spans="1:5" x14ac:dyDescent="0.4">
      <c r="A264" s="30">
        <v>5406</v>
      </c>
      <c r="B264" s="31">
        <v>5</v>
      </c>
      <c r="C264" s="31">
        <v>1</v>
      </c>
      <c r="D264" s="31">
        <v>0</v>
      </c>
      <c r="E264" s="31">
        <v>0</v>
      </c>
    </row>
    <row r="265" spans="1:5" x14ac:dyDescent="0.4">
      <c r="A265" s="30">
        <v>5407</v>
      </c>
      <c r="B265" s="31">
        <v>5</v>
      </c>
      <c r="C265" s="31">
        <v>1</v>
      </c>
      <c r="D265" s="31">
        <v>0</v>
      </c>
      <c r="E265" s="31">
        <v>0</v>
      </c>
    </row>
    <row r="266" spans="1:5" x14ac:dyDescent="0.4">
      <c r="A266" s="30">
        <v>5408</v>
      </c>
      <c r="B266" s="31">
        <v>5</v>
      </c>
      <c r="C266" s="31">
        <v>1</v>
      </c>
      <c r="D266" s="31">
        <v>0</v>
      </c>
      <c r="E266" s="31">
        <v>0</v>
      </c>
    </row>
    <row r="267" spans="1:5" x14ac:dyDescent="0.4">
      <c r="A267" s="30">
        <v>5410</v>
      </c>
      <c r="B267" s="31">
        <v>5</v>
      </c>
      <c r="C267" s="31">
        <v>1</v>
      </c>
      <c r="D267" s="31">
        <v>0</v>
      </c>
      <c r="E267" s="31">
        <v>0</v>
      </c>
    </row>
    <row r="268" spans="1:5" x14ac:dyDescent="0.4">
      <c r="A268" s="30">
        <v>5411</v>
      </c>
      <c r="B268" s="31">
        <v>5</v>
      </c>
      <c r="C268" s="31">
        <v>1</v>
      </c>
      <c r="D268" s="31">
        <v>0</v>
      </c>
      <c r="E268" s="31">
        <v>0</v>
      </c>
    </row>
    <row r="269" spans="1:5" x14ac:dyDescent="0.4">
      <c r="A269" s="30">
        <v>5412</v>
      </c>
      <c r="B269" s="31">
        <v>5</v>
      </c>
      <c r="C269" s="31">
        <v>1</v>
      </c>
      <c r="D269" s="31">
        <v>0</v>
      </c>
      <c r="E269" s="31">
        <v>0</v>
      </c>
    </row>
    <row r="270" spans="1:5" x14ac:dyDescent="0.4">
      <c r="A270" s="30">
        <v>5413</v>
      </c>
      <c r="B270" s="31">
        <v>5</v>
      </c>
      <c r="C270" s="31">
        <v>1</v>
      </c>
      <c r="D270" s="31">
        <v>0</v>
      </c>
      <c r="E270" s="31">
        <v>0</v>
      </c>
    </row>
    <row r="271" spans="1:5" x14ac:dyDescent="0.4">
      <c r="A271" s="30">
        <v>5414</v>
      </c>
      <c r="B271" s="31">
        <v>5</v>
      </c>
      <c r="C271" s="31">
        <v>1</v>
      </c>
      <c r="D271" s="31">
        <v>0</v>
      </c>
      <c r="E271" s="31">
        <v>0</v>
      </c>
    </row>
    <row r="272" spans="1:5" x14ac:dyDescent="0.4">
      <c r="A272" s="30">
        <v>5415</v>
      </c>
      <c r="B272" s="31">
        <v>5</v>
      </c>
      <c r="C272" s="31">
        <v>1</v>
      </c>
      <c r="D272" s="31">
        <v>0</v>
      </c>
      <c r="E272" s="31">
        <v>0</v>
      </c>
    </row>
    <row r="273" spans="1:5" x14ac:dyDescent="0.4">
      <c r="A273" s="30">
        <v>5416</v>
      </c>
      <c r="B273" s="31">
        <v>5</v>
      </c>
      <c r="C273" s="31">
        <v>1</v>
      </c>
      <c r="D273" s="31">
        <v>0</v>
      </c>
      <c r="E273" s="31">
        <v>0</v>
      </c>
    </row>
    <row r="274" spans="1:5" x14ac:dyDescent="0.4">
      <c r="A274" s="30">
        <v>5417</v>
      </c>
      <c r="B274" s="31">
        <v>4</v>
      </c>
      <c r="C274" s="31">
        <v>1</v>
      </c>
      <c r="D274" s="31">
        <v>0</v>
      </c>
      <c r="E274" s="31">
        <v>0</v>
      </c>
    </row>
    <row r="275" spans="1:5" x14ac:dyDescent="0.4">
      <c r="A275" s="30">
        <v>5419</v>
      </c>
      <c r="B275" s="31">
        <v>4</v>
      </c>
      <c r="C275" s="31">
        <v>1</v>
      </c>
      <c r="D275" s="31">
        <v>0</v>
      </c>
      <c r="E275" s="31">
        <v>0</v>
      </c>
    </row>
    <row r="276" spans="1:5" x14ac:dyDescent="0.4">
      <c r="A276" s="30">
        <v>5421</v>
      </c>
      <c r="B276" s="31">
        <v>4</v>
      </c>
      <c r="C276" s="31">
        <v>1</v>
      </c>
      <c r="D276" s="31">
        <v>0</v>
      </c>
      <c r="E276" s="31">
        <v>0</v>
      </c>
    </row>
    <row r="277" spans="1:5" x14ac:dyDescent="0.4">
      <c r="A277" s="30">
        <v>5423</v>
      </c>
      <c r="B277" s="31">
        <v>4</v>
      </c>
      <c r="C277" s="31">
        <v>1</v>
      </c>
      <c r="D277" s="31">
        <v>0</v>
      </c>
      <c r="E277" s="31">
        <v>0</v>
      </c>
    </row>
    <row r="278" spans="1:5" x14ac:dyDescent="0.4">
      <c r="A278" s="30">
        <v>5424</v>
      </c>
      <c r="B278" s="31">
        <v>4</v>
      </c>
      <c r="C278" s="31">
        <v>1</v>
      </c>
      <c r="D278" s="31">
        <v>0</v>
      </c>
      <c r="E278" s="31">
        <v>0</v>
      </c>
    </row>
    <row r="279" spans="1:5" x14ac:dyDescent="0.4">
      <c r="A279" s="30">
        <v>6101</v>
      </c>
      <c r="B279" s="31">
        <v>1</v>
      </c>
      <c r="C279" s="31">
        <v>2</v>
      </c>
      <c r="D279" s="31">
        <v>0</v>
      </c>
      <c r="E279" s="31">
        <v>0</v>
      </c>
    </row>
    <row r="280" spans="1:5" x14ac:dyDescent="0.4">
      <c r="A280" s="30">
        <v>6102</v>
      </c>
      <c r="B280" s="31">
        <v>1</v>
      </c>
      <c r="C280" s="31">
        <v>2</v>
      </c>
      <c r="D280" s="31">
        <v>0</v>
      </c>
      <c r="E280" s="31">
        <v>0</v>
      </c>
    </row>
    <row r="281" spans="1:5" x14ac:dyDescent="0.4">
      <c r="A281" s="30">
        <v>6103</v>
      </c>
      <c r="B281" s="31">
        <v>2</v>
      </c>
      <c r="C281" s="31">
        <v>2</v>
      </c>
      <c r="D281" s="31">
        <v>0</v>
      </c>
      <c r="E281" s="31">
        <v>0</v>
      </c>
    </row>
    <row r="282" spans="1:5" x14ac:dyDescent="0.4">
      <c r="A282" s="30">
        <v>6104</v>
      </c>
      <c r="B282" s="31">
        <v>1</v>
      </c>
      <c r="C282" s="31">
        <v>2</v>
      </c>
      <c r="D282" s="31">
        <v>0</v>
      </c>
      <c r="E282" s="31">
        <v>0</v>
      </c>
    </row>
    <row r="283" spans="1:5" x14ac:dyDescent="0.4">
      <c r="A283" s="30">
        <v>6201</v>
      </c>
      <c r="B283" s="31">
        <v>2</v>
      </c>
      <c r="C283" s="31">
        <v>2</v>
      </c>
      <c r="D283" s="31">
        <v>0</v>
      </c>
      <c r="E283" s="31">
        <v>0</v>
      </c>
    </row>
    <row r="284" spans="1:5" x14ac:dyDescent="0.4">
      <c r="A284" s="30">
        <v>6202</v>
      </c>
      <c r="B284" s="31">
        <v>1</v>
      </c>
      <c r="C284" s="31">
        <v>2</v>
      </c>
      <c r="D284" s="31">
        <v>0</v>
      </c>
      <c r="E284" s="31">
        <v>0</v>
      </c>
    </row>
    <row r="285" spans="1:5" x14ac:dyDescent="0.4">
      <c r="A285" s="30">
        <v>6203</v>
      </c>
      <c r="B285" s="31">
        <v>1</v>
      </c>
      <c r="C285" s="31">
        <v>2</v>
      </c>
      <c r="D285" s="31">
        <v>0</v>
      </c>
      <c r="E285" s="31">
        <v>0</v>
      </c>
    </row>
    <row r="286" spans="1:5" x14ac:dyDescent="0.4">
      <c r="A286" s="30">
        <v>6204</v>
      </c>
      <c r="B286" s="31">
        <v>1</v>
      </c>
      <c r="C286" s="31">
        <v>2</v>
      </c>
      <c r="D286" s="31">
        <v>0</v>
      </c>
      <c r="E286" s="31">
        <v>0</v>
      </c>
    </row>
    <row r="287" spans="1:5" x14ac:dyDescent="0.4">
      <c r="A287" s="30">
        <v>6205</v>
      </c>
      <c r="B287" s="31">
        <v>1</v>
      </c>
      <c r="C287" s="31">
        <v>2</v>
      </c>
      <c r="D287" s="31">
        <v>0</v>
      </c>
      <c r="E287" s="31">
        <v>0</v>
      </c>
    </row>
    <row r="288" spans="1:5" x14ac:dyDescent="0.4">
      <c r="A288" s="30">
        <v>6206</v>
      </c>
      <c r="B288" s="31">
        <v>1</v>
      </c>
      <c r="C288" s="31">
        <v>2</v>
      </c>
      <c r="D288" s="31">
        <v>0</v>
      </c>
      <c r="E288" s="31">
        <v>0</v>
      </c>
    </row>
    <row r="289" spans="1:5" x14ac:dyDescent="0.4">
      <c r="A289" s="30">
        <v>6207</v>
      </c>
      <c r="B289" s="31">
        <v>1</v>
      </c>
      <c r="C289" s="31">
        <v>2</v>
      </c>
      <c r="D289" s="31">
        <v>0</v>
      </c>
      <c r="E289" s="31">
        <v>0</v>
      </c>
    </row>
    <row r="290" spans="1:5" x14ac:dyDescent="0.4">
      <c r="A290" s="30">
        <v>6304</v>
      </c>
      <c r="B290" s="31">
        <v>5</v>
      </c>
      <c r="C290" s="31">
        <v>1</v>
      </c>
      <c r="D290" s="31">
        <v>0</v>
      </c>
      <c r="E290" s="31">
        <v>0</v>
      </c>
    </row>
    <row r="291" spans="1:5" x14ac:dyDescent="0.4">
      <c r="A291" s="30">
        <v>6306</v>
      </c>
      <c r="B291" s="31">
        <v>4</v>
      </c>
      <c r="C291" s="31">
        <v>1</v>
      </c>
      <c r="D291" s="31">
        <v>0</v>
      </c>
      <c r="E291" s="31">
        <v>0</v>
      </c>
    </row>
    <row r="292" spans="1:5" x14ac:dyDescent="0.4">
      <c r="A292" s="30">
        <v>6307</v>
      </c>
      <c r="B292" s="31">
        <v>4</v>
      </c>
      <c r="C292" s="31">
        <v>1</v>
      </c>
      <c r="D292" s="31">
        <v>0</v>
      </c>
      <c r="E292" s="31">
        <v>0</v>
      </c>
    </row>
    <row r="293" spans="1:5" x14ac:dyDescent="0.4">
      <c r="A293" s="30">
        <v>6308</v>
      </c>
      <c r="B293" s="31">
        <v>4</v>
      </c>
      <c r="C293" s="31">
        <v>1</v>
      </c>
      <c r="D293" s="31">
        <v>0</v>
      </c>
      <c r="E293" s="31">
        <v>0</v>
      </c>
    </row>
    <row r="294" spans="1:5" x14ac:dyDescent="0.4">
      <c r="A294" s="30">
        <v>6309</v>
      </c>
      <c r="B294" s="31">
        <v>2</v>
      </c>
      <c r="C294" s="31">
        <v>1</v>
      </c>
      <c r="D294" s="31">
        <v>0</v>
      </c>
      <c r="E294" s="31">
        <v>0</v>
      </c>
    </row>
    <row r="295" spans="1:5" x14ac:dyDescent="0.4">
      <c r="A295" s="30">
        <v>6310</v>
      </c>
      <c r="B295" s="31">
        <v>2</v>
      </c>
      <c r="C295" s="31">
        <v>1</v>
      </c>
      <c r="D295" s="31">
        <v>0</v>
      </c>
      <c r="E295" s="31">
        <v>0</v>
      </c>
    </row>
    <row r="296" spans="1:5" x14ac:dyDescent="0.4">
      <c r="A296" s="30">
        <v>6311</v>
      </c>
      <c r="B296" s="31">
        <v>2</v>
      </c>
      <c r="C296" s="31">
        <v>1</v>
      </c>
      <c r="D296" s="31">
        <v>0</v>
      </c>
      <c r="E296" s="31">
        <v>0</v>
      </c>
    </row>
    <row r="297" spans="1:5" x14ac:dyDescent="0.4">
      <c r="A297" s="30">
        <v>6312</v>
      </c>
      <c r="B297" s="31">
        <v>5</v>
      </c>
      <c r="C297" s="31">
        <v>1</v>
      </c>
      <c r="D297" s="31">
        <v>0</v>
      </c>
      <c r="E297" s="31">
        <v>0</v>
      </c>
    </row>
    <row r="298" spans="1:5" x14ac:dyDescent="0.4">
      <c r="A298" s="30">
        <v>6314</v>
      </c>
      <c r="B298" s="31">
        <v>5</v>
      </c>
      <c r="C298" s="31">
        <v>1</v>
      </c>
      <c r="D298" s="31">
        <v>0</v>
      </c>
      <c r="E298" s="31">
        <v>0</v>
      </c>
    </row>
    <row r="299" spans="1:5" x14ac:dyDescent="0.4">
      <c r="A299" s="30">
        <v>6401</v>
      </c>
      <c r="B299" s="31">
        <v>4</v>
      </c>
      <c r="C299" s="31">
        <v>1</v>
      </c>
      <c r="D299" s="31">
        <v>0</v>
      </c>
      <c r="E299" s="31">
        <v>0</v>
      </c>
    </row>
    <row r="300" spans="1:5" x14ac:dyDescent="0.4">
      <c r="A300" s="30">
        <v>6404</v>
      </c>
      <c r="B300" s="31">
        <v>5</v>
      </c>
      <c r="C300" s="31">
        <v>1</v>
      </c>
      <c r="D300" s="31">
        <v>0</v>
      </c>
      <c r="E300" s="31">
        <v>0</v>
      </c>
    </row>
    <row r="301" spans="1:5" x14ac:dyDescent="0.4">
      <c r="A301" s="30">
        <v>6406</v>
      </c>
      <c r="B301" s="31">
        <v>4</v>
      </c>
      <c r="C301" s="31">
        <v>1</v>
      </c>
      <c r="D301" s="31">
        <v>0</v>
      </c>
      <c r="E301" s="31">
        <v>0</v>
      </c>
    </row>
    <row r="302" spans="1:5" x14ac:dyDescent="0.4">
      <c r="A302" s="30">
        <v>6408</v>
      </c>
      <c r="B302" s="31">
        <v>4</v>
      </c>
      <c r="C302" s="31">
        <v>1</v>
      </c>
      <c r="D302" s="31">
        <v>0</v>
      </c>
      <c r="E302" s="31">
        <v>0</v>
      </c>
    </row>
    <row r="303" spans="1:5" x14ac:dyDescent="0.4">
      <c r="A303" s="30">
        <v>6409</v>
      </c>
      <c r="B303" s="31">
        <v>2</v>
      </c>
      <c r="C303" s="31">
        <v>1</v>
      </c>
      <c r="D303" s="31">
        <v>0</v>
      </c>
      <c r="E303" s="31">
        <v>0</v>
      </c>
    </row>
    <row r="304" spans="1:5" x14ac:dyDescent="0.4">
      <c r="A304" s="30">
        <v>6410</v>
      </c>
      <c r="B304" s="31">
        <v>2</v>
      </c>
      <c r="C304" s="31">
        <v>1</v>
      </c>
      <c r="D304" s="31">
        <v>0</v>
      </c>
      <c r="E304" s="31">
        <v>0</v>
      </c>
    </row>
    <row r="305" spans="1:5" x14ac:dyDescent="0.4">
      <c r="A305" s="30">
        <v>6411</v>
      </c>
      <c r="B305" s="31">
        <v>2</v>
      </c>
      <c r="C305" s="31">
        <v>1</v>
      </c>
      <c r="D305" s="31">
        <v>0</v>
      </c>
      <c r="E305" s="31">
        <v>0</v>
      </c>
    </row>
    <row r="306" spans="1:5" x14ac:dyDescent="0.4">
      <c r="A306" s="30">
        <v>6413</v>
      </c>
      <c r="B306" s="31">
        <v>2</v>
      </c>
      <c r="C306" s="31">
        <v>1</v>
      </c>
      <c r="D306" s="31">
        <v>0</v>
      </c>
      <c r="E306" s="31">
        <v>0</v>
      </c>
    </row>
    <row r="307" spans="1:5" x14ac:dyDescent="0.4">
      <c r="A307" s="30">
        <v>6414</v>
      </c>
      <c r="B307" s="31">
        <v>2</v>
      </c>
      <c r="C307" s="31">
        <v>1</v>
      </c>
      <c r="D307" s="31">
        <v>0</v>
      </c>
      <c r="E307" s="31">
        <v>0</v>
      </c>
    </row>
    <row r="308" spans="1:5" x14ac:dyDescent="0.4">
      <c r="A308" s="30">
        <v>7101</v>
      </c>
      <c r="B308" s="31">
        <v>2</v>
      </c>
      <c r="C308" s="31">
        <v>1</v>
      </c>
      <c r="D308" s="31">
        <v>0</v>
      </c>
      <c r="E308" s="31">
        <v>0</v>
      </c>
    </row>
    <row r="309" spans="1:5" x14ac:dyDescent="0.4">
      <c r="A309" s="30">
        <v>7103</v>
      </c>
      <c r="B309" s="31">
        <v>2</v>
      </c>
      <c r="C309" s="31">
        <v>1</v>
      </c>
      <c r="D309" s="31">
        <v>0</v>
      </c>
      <c r="E309" s="31">
        <v>0</v>
      </c>
    </row>
    <row r="310" spans="1:5" x14ac:dyDescent="0.4">
      <c r="A310" s="30">
        <v>7104</v>
      </c>
      <c r="B310" s="31">
        <v>5</v>
      </c>
      <c r="C310" s="31">
        <v>1</v>
      </c>
      <c r="D310" s="31">
        <v>0</v>
      </c>
      <c r="E310" s="31">
        <v>0</v>
      </c>
    </row>
    <row r="311" spans="1:5" x14ac:dyDescent="0.4">
      <c r="A311" s="30">
        <v>7105</v>
      </c>
      <c r="B311" s="31">
        <v>2</v>
      </c>
      <c r="C311" s="31">
        <v>1</v>
      </c>
      <c r="D311" s="31">
        <v>0</v>
      </c>
      <c r="E311" s="31">
        <v>0</v>
      </c>
    </row>
    <row r="312" spans="1:5" x14ac:dyDescent="0.4">
      <c r="A312" s="30">
        <v>7106</v>
      </c>
      <c r="B312" s="31">
        <v>2</v>
      </c>
      <c r="C312" s="31">
        <v>1</v>
      </c>
      <c r="D312" s="31">
        <v>0</v>
      </c>
      <c r="E312" s="31">
        <v>0</v>
      </c>
    </row>
    <row r="313" spans="1:5" x14ac:dyDescent="0.4">
      <c r="A313" s="30">
        <v>7107</v>
      </c>
      <c r="B313" s="31">
        <v>3</v>
      </c>
      <c r="C313" s="31">
        <v>1</v>
      </c>
      <c r="D313" s="31">
        <v>0</v>
      </c>
      <c r="E313" s="31">
        <v>0</v>
      </c>
    </row>
    <row r="314" spans="1:5" x14ac:dyDescent="0.4">
      <c r="A314" s="30">
        <v>7108</v>
      </c>
      <c r="B314" s="31">
        <v>4</v>
      </c>
      <c r="C314" s="31">
        <v>1</v>
      </c>
      <c r="D314" s="31">
        <v>0</v>
      </c>
      <c r="E314" s="31">
        <v>0</v>
      </c>
    </row>
    <row r="315" spans="1:5" x14ac:dyDescent="0.4">
      <c r="A315" s="30">
        <v>7112</v>
      </c>
      <c r="B315" s="31">
        <v>3</v>
      </c>
      <c r="C315" s="31">
        <v>1</v>
      </c>
      <c r="D315" s="31">
        <v>0</v>
      </c>
      <c r="E315" s="31">
        <v>0</v>
      </c>
    </row>
    <row r="316" spans="1:5" x14ac:dyDescent="0.4">
      <c r="A316" s="30">
        <v>7113</v>
      </c>
      <c r="B316" s="31">
        <v>4</v>
      </c>
      <c r="C316" s="31">
        <v>1</v>
      </c>
      <c r="D316" s="31">
        <v>0</v>
      </c>
      <c r="E316" s="31">
        <v>0</v>
      </c>
    </row>
    <row r="317" spans="1:5" x14ac:dyDescent="0.4">
      <c r="A317" s="30">
        <v>7114</v>
      </c>
      <c r="B317" s="31">
        <v>4</v>
      </c>
      <c r="C317" s="31">
        <v>1</v>
      </c>
      <c r="D317" s="31">
        <v>0</v>
      </c>
      <c r="E317" s="31">
        <v>0</v>
      </c>
    </row>
    <row r="318" spans="1:5" x14ac:dyDescent="0.4">
      <c r="A318" s="30">
        <v>7115</v>
      </c>
      <c r="B318" s="31">
        <v>4</v>
      </c>
      <c r="C318" s="31">
        <v>1</v>
      </c>
      <c r="D318" s="31">
        <v>0</v>
      </c>
      <c r="E318" s="31">
        <v>0</v>
      </c>
    </row>
    <row r="319" spans="1:5" x14ac:dyDescent="0.4">
      <c r="A319" s="30">
        <v>7201</v>
      </c>
      <c r="B319" s="31">
        <v>5</v>
      </c>
      <c r="C319" s="31">
        <v>1</v>
      </c>
      <c r="D319" s="31">
        <v>0</v>
      </c>
      <c r="E319" s="31">
        <v>0</v>
      </c>
    </row>
    <row r="320" spans="1:5" x14ac:dyDescent="0.4">
      <c r="A320" s="30">
        <v>7203</v>
      </c>
      <c r="B320" s="31">
        <v>4</v>
      </c>
      <c r="C320" s="31">
        <v>1</v>
      </c>
      <c r="D320" s="31">
        <v>0</v>
      </c>
      <c r="E320" s="31">
        <v>0</v>
      </c>
    </row>
    <row r="321" spans="1:5" x14ac:dyDescent="0.4">
      <c r="A321" s="30">
        <v>7204</v>
      </c>
      <c r="B321" s="31">
        <v>5</v>
      </c>
      <c r="C321" s="31">
        <v>1</v>
      </c>
      <c r="D321" s="31">
        <v>0</v>
      </c>
      <c r="E321" s="31">
        <v>0</v>
      </c>
    </row>
    <row r="322" spans="1:5" x14ac:dyDescent="0.4">
      <c r="A322" s="30">
        <v>7205</v>
      </c>
      <c r="B322" s="31">
        <v>4</v>
      </c>
      <c r="C322" s="31">
        <v>1</v>
      </c>
      <c r="D322" s="31">
        <v>0</v>
      </c>
      <c r="E322" s="31">
        <v>0</v>
      </c>
    </row>
    <row r="323" spans="1:5" x14ac:dyDescent="0.4">
      <c r="A323" s="30">
        <v>7207</v>
      </c>
      <c r="B323" s="31">
        <v>5</v>
      </c>
      <c r="C323" s="31">
        <v>1</v>
      </c>
      <c r="D323" s="31">
        <v>0</v>
      </c>
      <c r="E323" s="31">
        <v>0</v>
      </c>
    </row>
    <row r="324" spans="1:5" x14ac:dyDescent="0.4">
      <c r="A324" s="30">
        <v>7208</v>
      </c>
      <c r="B324" s="31">
        <v>5</v>
      </c>
      <c r="C324" s="31">
        <v>1</v>
      </c>
      <c r="D324" s="31">
        <v>0</v>
      </c>
      <c r="E324" s="31">
        <v>0</v>
      </c>
    </row>
    <row r="325" spans="1:5" x14ac:dyDescent="0.4">
      <c r="A325" s="30">
        <v>7209</v>
      </c>
      <c r="B325" s="31">
        <v>5</v>
      </c>
      <c r="C325" s="31">
        <v>1</v>
      </c>
      <c r="D325" s="31">
        <v>0</v>
      </c>
      <c r="E325" s="31">
        <v>0</v>
      </c>
    </row>
    <row r="326" spans="1:5" x14ac:dyDescent="0.4">
      <c r="A326" s="30">
        <v>7210</v>
      </c>
      <c r="B326" s="31">
        <v>5</v>
      </c>
      <c r="C326" s="31">
        <v>1</v>
      </c>
      <c r="D326" s="31">
        <v>0</v>
      </c>
      <c r="E326" s="31">
        <v>0</v>
      </c>
    </row>
    <row r="327" spans="1:5" x14ac:dyDescent="0.4">
      <c r="A327" s="30">
        <v>7211</v>
      </c>
      <c r="B327" s="31">
        <v>5</v>
      </c>
      <c r="C327" s="31">
        <v>1</v>
      </c>
      <c r="D327" s="31">
        <v>0</v>
      </c>
      <c r="E327" s="31">
        <v>0</v>
      </c>
    </row>
    <row r="328" spans="1:5" x14ac:dyDescent="0.4">
      <c r="A328" s="30">
        <v>7214</v>
      </c>
      <c r="B328" s="31">
        <v>4</v>
      </c>
      <c r="C328" s="31">
        <v>1</v>
      </c>
      <c r="D328" s="31">
        <v>0</v>
      </c>
      <c r="E328" s="31">
        <v>0</v>
      </c>
    </row>
    <row r="329" spans="1:5" x14ac:dyDescent="0.4">
      <c r="A329" s="30">
        <v>7215</v>
      </c>
      <c r="B329" s="31">
        <v>4</v>
      </c>
      <c r="C329" s="31">
        <v>1</v>
      </c>
      <c r="D329" s="31">
        <v>0</v>
      </c>
      <c r="E329" s="31">
        <v>0</v>
      </c>
    </row>
    <row r="330" spans="1:5" x14ac:dyDescent="0.4">
      <c r="A330" s="30">
        <v>7302</v>
      </c>
      <c r="B330" s="31">
        <v>3</v>
      </c>
      <c r="C330" s="31">
        <v>1</v>
      </c>
      <c r="D330" s="31">
        <v>0</v>
      </c>
      <c r="E330" s="31">
        <v>0</v>
      </c>
    </row>
    <row r="331" spans="1:5" x14ac:dyDescent="0.4">
      <c r="A331" s="30">
        <v>7304</v>
      </c>
      <c r="B331" s="31">
        <v>4</v>
      </c>
      <c r="C331" s="31">
        <v>1</v>
      </c>
      <c r="D331" s="31">
        <v>0</v>
      </c>
      <c r="E331" s="31">
        <v>0</v>
      </c>
    </row>
    <row r="332" spans="1:5" x14ac:dyDescent="0.4">
      <c r="A332" s="30">
        <v>7305</v>
      </c>
      <c r="B332" s="31">
        <v>4</v>
      </c>
      <c r="C332" s="31">
        <v>1</v>
      </c>
      <c r="D332" s="31">
        <v>0</v>
      </c>
      <c r="E332" s="31">
        <v>0</v>
      </c>
    </row>
    <row r="333" spans="1:5" x14ac:dyDescent="0.4">
      <c r="A333" s="30">
        <v>7307</v>
      </c>
      <c r="B333" s="31">
        <v>2</v>
      </c>
      <c r="C333" s="31">
        <v>1</v>
      </c>
      <c r="D333" s="31">
        <v>0</v>
      </c>
      <c r="E333" s="31">
        <v>0</v>
      </c>
    </row>
    <row r="334" spans="1:5" x14ac:dyDescent="0.4">
      <c r="A334" s="30">
        <v>7309</v>
      </c>
      <c r="B334" s="31">
        <v>5</v>
      </c>
      <c r="C334" s="31">
        <v>1</v>
      </c>
      <c r="D334" s="31">
        <v>0</v>
      </c>
      <c r="E334" s="31">
        <v>0</v>
      </c>
    </row>
    <row r="335" spans="1:5" x14ac:dyDescent="0.4">
      <c r="A335" s="30">
        <v>7401</v>
      </c>
      <c r="B335" s="31">
        <v>3</v>
      </c>
      <c r="C335" s="31">
        <v>1</v>
      </c>
      <c r="D335" s="31">
        <v>0</v>
      </c>
      <c r="E335" s="31">
        <v>0</v>
      </c>
    </row>
    <row r="336" spans="1:5" x14ac:dyDescent="0.4">
      <c r="A336" s="30">
        <v>7402</v>
      </c>
      <c r="B336" s="31">
        <v>3</v>
      </c>
      <c r="C336" s="31">
        <v>1</v>
      </c>
      <c r="D336" s="31">
        <v>0</v>
      </c>
      <c r="E336" s="31">
        <v>0</v>
      </c>
    </row>
    <row r="337" spans="1:5" x14ac:dyDescent="0.4">
      <c r="A337" s="30">
        <v>7403</v>
      </c>
      <c r="B337" s="31">
        <v>5</v>
      </c>
      <c r="C337" s="31">
        <v>1</v>
      </c>
      <c r="D337" s="31">
        <v>0</v>
      </c>
      <c r="E337" s="31">
        <v>0</v>
      </c>
    </row>
    <row r="338" spans="1:5" x14ac:dyDescent="0.4">
      <c r="A338" s="30">
        <v>7404</v>
      </c>
      <c r="B338" s="31">
        <v>3</v>
      </c>
      <c r="C338" s="31">
        <v>1</v>
      </c>
      <c r="D338" s="31">
        <v>0</v>
      </c>
      <c r="E338" s="31">
        <v>0</v>
      </c>
    </row>
    <row r="339" spans="1:5" x14ac:dyDescent="0.4">
      <c r="A339" s="30">
        <v>7405</v>
      </c>
      <c r="B339" s="31">
        <v>3</v>
      </c>
      <c r="C339" s="31">
        <v>1</v>
      </c>
      <c r="D339" s="31">
        <v>0</v>
      </c>
      <c r="E339" s="31">
        <v>0</v>
      </c>
    </row>
    <row r="340" spans="1:5" x14ac:dyDescent="0.4">
      <c r="A340" s="30">
        <v>7406</v>
      </c>
      <c r="B340" s="31">
        <v>3</v>
      </c>
      <c r="C340" s="31">
        <v>1</v>
      </c>
      <c r="D340" s="31">
        <v>0</v>
      </c>
      <c r="E340" s="31">
        <v>0</v>
      </c>
    </row>
    <row r="341" spans="1:5" x14ac:dyDescent="0.4">
      <c r="A341" s="30">
        <v>7407</v>
      </c>
      <c r="B341" s="31">
        <v>5</v>
      </c>
      <c r="C341" s="31">
        <v>1</v>
      </c>
      <c r="D341" s="31">
        <v>0</v>
      </c>
      <c r="E341" s="31">
        <v>0</v>
      </c>
    </row>
    <row r="342" spans="1:5" x14ac:dyDescent="0.4">
      <c r="A342" s="30">
        <v>7408</v>
      </c>
      <c r="B342" s="31">
        <v>5</v>
      </c>
      <c r="C342" s="31">
        <v>1</v>
      </c>
      <c r="D342" s="31">
        <v>0</v>
      </c>
      <c r="E342" s="31">
        <v>0</v>
      </c>
    </row>
    <row r="343" spans="1:5" x14ac:dyDescent="0.4">
      <c r="A343" s="30">
        <v>7409</v>
      </c>
      <c r="B343" s="31">
        <v>5</v>
      </c>
      <c r="C343" s="31">
        <v>1</v>
      </c>
      <c r="D343" s="31">
        <v>0</v>
      </c>
      <c r="E343" s="31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5DEB-7C00-4480-A510-CAA07EA9BED4}">
  <sheetPr codeName="Sheet4"/>
  <dimension ref="A1:E76"/>
  <sheetViews>
    <sheetView workbookViewId="0"/>
  </sheetViews>
  <sheetFormatPr defaultRowHeight="18.75" x14ac:dyDescent="0.4"/>
  <cols>
    <col min="1" max="1" width="11.375" style="28" bestFit="1" customWidth="1"/>
    <col min="2" max="2" width="25.625" style="29" customWidth="1"/>
    <col min="3" max="3" width="4.125" style="27" customWidth="1"/>
    <col min="4" max="4" width="11.375" style="28" bestFit="1" customWidth="1"/>
    <col min="5" max="5" width="25.625" style="29" bestFit="1" customWidth="1"/>
    <col min="6" max="16384" width="9" style="27"/>
  </cols>
  <sheetData>
    <row r="1" spans="1:5" x14ac:dyDescent="0.4">
      <c r="A1" s="36" t="s">
        <v>49</v>
      </c>
      <c r="B1" s="37" t="s">
        <v>50</v>
      </c>
      <c r="D1" s="34" t="s">
        <v>49</v>
      </c>
      <c r="E1" s="35" t="s">
        <v>51</v>
      </c>
    </row>
    <row r="2" spans="1:5" x14ac:dyDescent="0.4">
      <c r="A2" s="28">
        <v>43466</v>
      </c>
      <c r="B2" s="29" t="s">
        <v>41</v>
      </c>
      <c r="D2" s="28">
        <v>43554</v>
      </c>
      <c r="E2" s="29" t="s">
        <v>52</v>
      </c>
    </row>
    <row r="3" spans="1:5" x14ac:dyDescent="0.4">
      <c r="A3" s="28">
        <v>43479</v>
      </c>
      <c r="B3" s="29" t="s">
        <v>40</v>
      </c>
      <c r="D3" s="28">
        <v>43555</v>
      </c>
      <c r="E3" s="29" t="s">
        <v>53</v>
      </c>
    </row>
    <row r="4" spans="1:5" x14ac:dyDescent="0.4">
      <c r="A4" s="28">
        <v>43507</v>
      </c>
      <c r="B4" s="29" t="s">
        <v>39</v>
      </c>
      <c r="D4" s="28">
        <v>43557</v>
      </c>
      <c r="E4" s="29" t="s">
        <v>54</v>
      </c>
    </row>
    <row r="5" spans="1:5" x14ac:dyDescent="0.4">
      <c r="A5" s="28">
        <v>43545</v>
      </c>
      <c r="B5" s="29" t="s">
        <v>37</v>
      </c>
      <c r="D5" s="28">
        <v>43558</v>
      </c>
      <c r="E5" s="29" t="s">
        <v>55</v>
      </c>
    </row>
    <row r="6" spans="1:5" x14ac:dyDescent="0.4">
      <c r="A6" s="28">
        <v>43584</v>
      </c>
      <c r="B6" s="29" t="s">
        <v>36</v>
      </c>
      <c r="D6" s="28">
        <v>43565</v>
      </c>
      <c r="E6" s="29" t="s">
        <v>56</v>
      </c>
    </row>
    <row r="7" spans="1:5" x14ac:dyDescent="0.4">
      <c r="A7" s="28">
        <v>43585</v>
      </c>
      <c r="B7" s="29" t="s">
        <v>48</v>
      </c>
      <c r="D7" s="28">
        <v>43574</v>
      </c>
      <c r="E7" s="29" t="s">
        <v>77</v>
      </c>
    </row>
    <row r="8" spans="1:5" x14ac:dyDescent="0.4">
      <c r="A8" s="28">
        <v>43586</v>
      </c>
      <c r="B8" s="29" t="s">
        <v>47</v>
      </c>
      <c r="D8" s="28">
        <v>43579</v>
      </c>
      <c r="E8" s="29" t="s">
        <v>57</v>
      </c>
    </row>
    <row r="9" spans="1:5" x14ac:dyDescent="0.4">
      <c r="A9" s="28">
        <v>43587</v>
      </c>
      <c r="B9" s="29" t="s">
        <v>46</v>
      </c>
      <c r="D9" s="28">
        <v>43582</v>
      </c>
      <c r="E9" s="29" t="s">
        <v>62</v>
      </c>
    </row>
    <row r="10" spans="1:5" x14ac:dyDescent="0.4">
      <c r="A10" s="28">
        <v>43588</v>
      </c>
      <c r="B10" s="29" t="s">
        <v>35</v>
      </c>
      <c r="D10" s="28">
        <v>43591</v>
      </c>
      <c r="E10" s="29" t="s">
        <v>62</v>
      </c>
    </row>
    <row r="11" spans="1:5" x14ac:dyDescent="0.4">
      <c r="A11" s="28">
        <v>43589</v>
      </c>
      <c r="B11" s="29" t="s">
        <v>34</v>
      </c>
      <c r="D11" s="28">
        <v>43599</v>
      </c>
      <c r="E11" s="29" t="s">
        <v>58</v>
      </c>
    </row>
    <row r="12" spans="1:5" x14ac:dyDescent="0.4">
      <c r="A12" s="28">
        <v>43590</v>
      </c>
      <c r="B12" s="29" t="s">
        <v>33</v>
      </c>
      <c r="D12" s="28">
        <v>43614</v>
      </c>
      <c r="E12" s="29" t="s">
        <v>59</v>
      </c>
    </row>
    <row r="13" spans="1:5" x14ac:dyDescent="0.4">
      <c r="A13" s="28">
        <v>43591</v>
      </c>
      <c r="B13" s="29" t="s">
        <v>43</v>
      </c>
      <c r="D13" s="28">
        <v>43623</v>
      </c>
      <c r="E13" s="29" t="s">
        <v>60</v>
      </c>
    </row>
    <row r="14" spans="1:5" x14ac:dyDescent="0.4">
      <c r="A14" s="28">
        <v>43661</v>
      </c>
      <c r="B14" s="29" t="s">
        <v>32</v>
      </c>
      <c r="D14" s="28">
        <v>43627</v>
      </c>
      <c r="E14" s="29" t="s">
        <v>61</v>
      </c>
    </row>
    <row r="15" spans="1:5" x14ac:dyDescent="0.4">
      <c r="A15" s="28">
        <v>43688</v>
      </c>
      <c r="B15" s="29" t="s">
        <v>42</v>
      </c>
      <c r="D15" s="28">
        <v>43666</v>
      </c>
      <c r="E15" s="29" t="s">
        <v>63</v>
      </c>
    </row>
    <row r="16" spans="1:5" x14ac:dyDescent="0.4">
      <c r="A16" s="28">
        <v>43689</v>
      </c>
      <c r="B16" s="29" t="s">
        <v>43</v>
      </c>
      <c r="D16" s="28">
        <v>43678</v>
      </c>
      <c r="E16" s="29" t="s">
        <v>64</v>
      </c>
    </row>
    <row r="17" spans="1:5" x14ac:dyDescent="0.4">
      <c r="A17" s="28">
        <v>43724</v>
      </c>
      <c r="B17" s="29" t="s">
        <v>30</v>
      </c>
      <c r="D17" s="28">
        <v>43683</v>
      </c>
      <c r="E17" s="29" t="s">
        <v>65</v>
      </c>
    </row>
    <row r="18" spans="1:5" x14ac:dyDescent="0.4">
      <c r="A18" s="28">
        <v>43731</v>
      </c>
      <c r="B18" s="29" t="s">
        <v>29</v>
      </c>
      <c r="D18" s="28">
        <v>43686</v>
      </c>
      <c r="E18" s="29" t="s">
        <v>66</v>
      </c>
    </row>
    <row r="19" spans="1:5" x14ac:dyDescent="0.4">
      <c r="A19" s="28">
        <v>43752</v>
      </c>
      <c r="B19" s="29" t="s">
        <v>45</v>
      </c>
      <c r="D19" s="28">
        <v>43687</v>
      </c>
      <c r="E19" s="29" t="s">
        <v>67</v>
      </c>
    </row>
    <row r="20" spans="1:5" x14ac:dyDescent="0.4">
      <c r="A20" s="28">
        <v>43760</v>
      </c>
      <c r="B20" s="29" t="s">
        <v>44</v>
      </c>
      <c r="D20" s="28">
        <v>43710</v>
      </c>
      <c r="E20" s="29" t="s">
        <v>68</v>
      </c>
    </row>
    <row r="21" spans="1:5" x14ac:dyDescent="0.4">
      <c r="A21" s="28">
        <v>43772</v>
      </c>
      <c r="B21" s="29" t="s">
        <v>27</v>
      </c>
      <c r="D21" s="28">
        <v>43731</v>
      </c>
      <c r="E21" s="29" t="s">
        <v>69</v>
      </c>
    </row>
    <row r="22" spans="1:5" x14ac:dyDescent="0.4">
      <c r="A22" s="28">
        <v>43773</v>
      </c>
      <c r="B22" s="29" t="s">
        <v>43</v>
      </c>
      <c r="D22" s="28">
        <v>43756</v>
      </c>
      <c r="E22" s="29" t="s">
        <v>70</v>
      </c>
    </row>
    <row r="23" spans="1:5" x14ac:dyDescent="0.4">
      <c r="A23" s="28">
        <v>43787</v>
      </c>
      <c r="B23" s="29" t="s">
        <v>78</v>
      </c>
      <c r="D23" s="28">
        <v>43757</v>
      </c>
      <c r="E23" s="29" t="s">
        <v>71</v>
      </c>
    </row>
    <row r="24" spans="1:5" x14ac:dyDescent="0.4">
      <c r="A24" s="28">
        <v>43792</v>
      </c>
      <c r="B24" s="29" t="s">
        <v>26</v>
      </c>
      <c r="D24" s="28">
        <v>43758</v>
      </c>
      <c r="E24" s="29" t="s">
        <v>72</v>
      </c>
    </row>
    <row r="25" spans="1:5" x14ac:dyDescent="0.4">
      <c r="A25" s="28">
        <v>43831</v>
      </c>
      <c r="B25" s="29" t="s">
        <v>41</v>
      </c>
      <c r="D25" s="28">
        <v>43759</v>
      </c>
      <c r="E25" s="29" t="s">
        <v>73</v>
      </c>
    </row>
    <row r="26" spans="1:5" x14ac:dyDescent="0.4">
      <c r="A26" s="28">
        <v>43843</v>
      </c>
      <c r="B26" s="29" t="s">
        <v>40</v>
      </c>
      <c r="D26" s="28">
        <v>43775</v>
      </c>
      <c r="E26" s="29" t="s">
        <v>74</v>
      </c>
    </row>
    <row r="27" spans="1:5" x14ac:dyDescent="0.4">
      <c r="A27" s="28">
        <v>43872</v>
      </c>
      <c r="B27" s="29" t="s">
        <v>39</v>
      </c>
      <c r="D27" s="28">
        <v>43776</v>
      </c>
      <c r="E27" s="29" t="s">
        <v>75</v>
      </c>
    </row>
    <row r="28" spans="1:5" x14ac:dyDescent="0.4">
      <c r="A28" s="28">
        <v>43513</v>
      </c>
      <c r="B28" s="29" t="s">
        <v>78</v>
      </c>
      <c r="D28" s="28">
        <v>43782</v>
      </c>
      <c r="E28" s="29" t="s">
        <v>76</v>
      </c>
    </row>
    <row r="29" spans="1:5" x14ac:dyDescent="0.4">
      <c r="A29" s="28">
        <v>43516</v>
      </c>
      <c r="B29" s="29" t="s">
        <v>78</v>
      </c>
      <c r="D29" s="28">
        <v>43785</v>
      </c>
      <c r="E29" s="29" t="s">
        <v>62</v>
      </c>
    </row>
    <row r="30" spans="1:5" x14ac:dyDescent="0.4">
      <c r="A30" s="28">
        <v>43884</v>
      </c>
      <c r="B30" s="29" t="s">
        <v>38</v>
      </c>
      <c r="D30" s="28">
        <v>43797</v>
      </c>
      <c r="E30" s="29" t="s">
        <v>79</v>
      </c>
    </row>
    <row r="31" spans="1:5" x14ac:dyDescent="0.4">
      <c r="A31" s="28">
        <v>43885</v>
      </c>
      <c r="B31" s="29" t="s">
        <v>43</v>
      </c>
      <c r="D31" s="28">
        <v>43801</v>
      </c>
      <c r="E31" s="29" t="s">
        <v>80</v>
      </c>
    </row>
    <row r="32" spans="1:5" x14ac:dyDescent="0.4">
      <c r="A32" s="28">
        <v>43910</v>
      </c>
      <c r="B32" s="29" t="s">
        <v>37</v>
      </c>
      <c r="D32" s="28">
        <v>43819</v>
      </c>
      <c r="E32" s="29" t="s">
        <v>66</v>
      </c>
    </row>
    <row r="33" spans="1:5" x14ac:dyDescent="0.4">
      <c r="A33" s="28">
        <v>43950</v>
      </c>
      <c r="B33" s="29" t="s">
        <v>36</v>
      </c>
      <c r="D33" s="28">
        <v>43820</v>
      </c>
      <c r="E33" s="29" t="s">
        <v>81</v>
      </c>
    </row>
    <row r="34" spans="1:5" x14ac:dyDescent="0.4">
      <c r="A34" s="28">
        <v>43954</v>
      </c>
      <c r="B34" s="29" t="s">
        <v>35</v>
      </c>
      <c r="D34" s="28">
        <v>43470</v>
      </c>
      <c r="E34" s="29" t="s">
        <v>69</v>
      </c>
    </row>
    <row r="35" spans="1:5" x14ac:dyDescent="0.4">
      <c r="A35" s="28">
        <v>43955</v>
      </c>
      <c r="B35" s="29" t="s">
        <v>34</v>
      </c>
      <c r="D35" s="28">
        <v>43480</v>
      </c>
      <c r="E35" s="29" t="s">
        <v>82</v>
      </c>
    </row>
    <row r="36" spans="1:5" x14ac:dyDescent="0.4">
      <c r="A36" s="28">
        <v>43956</v>
      </c>
      <c r="B36" s="29" t="s">
        <v>33</v>
      </c>
      <c r="D36" s="28">
        <v>43483</v>
      </c>
      <c r="E36" s="29" t="s">
        <v>85</v>
      </c>
    </row>
    <row r="37" spans="1:5" x14ac:dyDescent="0.4">
      <c r="A37" s="28">
        <v>43957</v>
      </c>
      <c r="B37" s="29" t="s">
        <v>43</v>
      </c>
      <c r="D37" s="28">
        <v>43506</v>
      </c>
      <c r="E37" s="29" t="s">
        <v>83</v>
      </c>
    </row>
    <row r="38" spans="1:5" x14ac:dyDescent="0.4">
      <c r="A38" s="28">
        <v>44035</v>
      </c>
      <c r="B38" s="29" t="s">
        <v>32</v>
      </c>
      <c r="D38" s="28">
        <v>43510</v>
      </c>
      <c r="E38" s="29" t="s">
        <v>84</v>
      </c>
    </row>
    <row r="39" spans="1:5" x14ac:dyDescent="0.4">
      <c r="A39" s="28">
        <v>44036</v>
      </c>
      <c r="B39" s="29" t="s">
        <v>28</v>
      </c>
      <c r="D39" s="28">
        <v>43512</v>
      </c>
      <c r="E39" s="29" t="s">
        <v>86</v>
      </c>
    </row>
    <row r="40" spans="1:5" x14ac:dyDescent="0.4">
      <c r="A40" s="28">
        <v>44053</v>
      </c>
      <c r="B40" s="29" t="s">
        <v>42</v>
      </c>
      <c r="D40" s="28">
        <v>43522</v>
      </c>
      <c r="E40" s="29" t="s">
        <v>87</v>
      </c>
    </row>
    <row r="41" spans="1:5" x14ac:dyDescent="0.4">
      <c r="A41" s="28">
        <v>44095</v>
      </c>
      <c r="B41" s="29" t="s">
        <v>30</v>
      </c>
      <c r="D41" s="28">
        <v>43523</v>
      </c>
      <c r="E41" s="29" t="s">
        <v>67</v>
      </c>
    </row>
    <row r="42" spans="1:5" x14ac:dyDescent="0.4">
      <c r="A42" s="28">
        <v>44096</v>
      </c>
      <c r="B42" s="29" t="s">
        <v>29</v>
      </c>
      <c r="D42" s="28">
        <v>43534</v>
      </c>
      <c r="E42" s="29" t="s">
        <v>88</v>
      </c>
    </row>
    <row r="43" spans="1:5" x14ac:dyDescent="0.4">
      <c r="A43" s="28">
        <v>44138</v>
      </c>
      <c r="B43" s="29" t="s">
        <v>27</v>
      </c>
      <c r="D43" s="28">
        <v>43542</v>
      </c>
      <c r="E43" s="29" t="s">
        <v>89</v>
      </c>
    </row>
    <row r="44" spans="1:5" x14ac:dyDescent="0.4">
      <c r="A44" s="28">
        <v>44158</v>
      </c>
      <c r="B44" s="29" t="s">
        <v>26</v>
      </c>
    </row>
    <row r="45" spans="1:5" x14ac:dyDescent="0.4">
      <c r="A45" s="28">
        <v>44197</v>
      </c>
      <c r="B45" s="29" t="s">
        <v>41</v>
      </c>
    </row>
    <row r="46" spans="1:5" x14ac:dyDescent="0.4">
      <c r="A46" s="28">
        <v>44207</v>
      </c>
      <c r="B46" s="29" t="s">
        <v>40</v>
      </c>
    </row>
    <row r="47" spans="1:5" x14ac:dyDescent="0.4">
      <c r="A47" s="28">
        <v>44238</v>
      </c>
      <c r="B47" s="29" t="s">
        <v>39</v>
      </c>
    </row>
    <row r="48" spans="1:5" x14ac:dyDescent="0.4">
      <c r="A48" s="28">
        <v>44250</v>
      </c>
      <c r="B48" s="29" t="s">
        <v>38</v>
      </c>
    </row>
    <row r="49" spans="1:2" x14ac:dyDescent="0.4">
      <c r="A49" s="28">
        <v>44275</v>
      </c>
      <c r="B49" s="29" t="s">
        <v>37</v>
      </c>
    </row>
    <row r="50" spans="1:2" x14ac:dyDescent="0.4">
      <c r="A50" s="28">
        <v>44315</v>
      </c>
      <c r="B50" s="29" t="s">
        <v>36</v>
      </c>
    </row>
    <row r="51" spans="1:2" x14ac:dyDescent="0.4">
      <c r="A51" s="28">
        <v>44319</v>
      </c>
      <c r="B51" s="29" t="s">
        <v>35</v>
      </c>
    </row>
    <row r="52" spans="1:2" x14ac:dyDescent="0.4">
      <c r="A52" s="28">
        <v>44320</v>
      </c>
      <c r="B52" s="29" t="s">
        <v>34</v>
      </c>
    </row>
    <row r="53" spans="1:2" x14ac:dyDescent="0.4">
      <c r="A53" s="28">
        <v>44321</v>
      </c>
      <c r="B53" s="29" t="s">
        <v>33</v>
      </c>
    </row>
    <row r="54" spans="1:2" x14ac:dyDescent="0.4">
      <c r="A54" s="28">
        <v>44396</v>
      </c>
      <c r="B54" s="29" t="s">
        <v>32</v>
      </c>
    </row>
    <row r="55" spans="1:2" x14ac:dyDescent="0.4">
      <c r="A55" s="28">
        <v>44419</v>
      </c>
      <c r="B55" s="29" t="s">
        <v>42</v>
      </c>
    </row>
    <row r="56" spans="1:2" x14ac:dyDescent="0.4">
      <c r="A56" s="28">
        <v>44459</v>
      </c>
      <c r="B56" s="29" t="s">
        <v>30</v>
      </c>
    </row>
    <row r="57" spans="1:2" x14ac:dyDescent="0.4">
      <c r="A57" s="28">
        <v>44462</v>
      </c>
      <c r="B57" s="29" t="s">
        <v>29</v>
      </c>
    </row>
    <row r="58" spans="1:2" x14ac:dyDescent="0.4">
      <c r="A58" s="28">
        <v>44480</v>
      </c>
      <c r="B58" s="29" t="s">
        <v>28</v>
      </c>
    </row>
    <row r="59" spans="1:2" x14ac:dyDescent="0.4">
      <c r="A59" s="28">
        <v>44503</v>
      </c>
      <c r="B59" s="29" t="s">
        <v>27</v>
      </c>
    </row>
    <row r="60" spans="1:2" x14ac:dyDescent="0.4">
      <c r="A60" s="28">
        <v>44523</v>
      </c>
      <c r="B60" s="29" t="s">
        <v>26</v>
      </c>
    </row>
    <row r="61" spans="1:2" x14ac:dyDescent="0.4">
      <c r="A61" s="28">
        <v>44562</v>
      </c>
      <c r="B61" s="29" t="s">
        <v>41</v>
      </c>
    </row>
    <row r="62" spans="1:2" x14ac:dyDescent="0.4">
      <c r="A62" s="28">
        <v>44571</v>
      </c>
      <c r="B62" s="29" t="s">
        <v>40</v>
      </c>
    </row>
    <row r="63" spans="1:2" x14ac:dyDescent="0.4">
      <c r="A63" s="28">
        <v>44603</v>
      </c>
      <c r="B63" s="29" t="s">
        <v>39</v>
      </c>
    </row>
    <row r="64" spans="1:2" x14ac:dyDescent="0.4">
      <c r="A64" s="28">
        <v>44615</v>
      </c>
      <c r="B64" s="29" t="s">
        <v>38</v>
      </c>
    </row>
    <row r="65" spans="1:2" x14ac:dyDescent="0.4">
      <c r="A65" s="28">
        <v>44641</v>
      </c>
      <c r="B65" s="29" t="s">
        <v>37</v>
      </c>
    </row>
    <row r="66" spans="1:2" x14ac:dyDescent="0.4">
      <c r="A66" s="28">
        <v>44680</v>
      </c>
      <c r="B66" s="29" t="s">
        <v>36</v>
      </c>
    </row>
    <row r="67" spans="1:2" x14ac:dyDescent="0.4">
      <c r="A67" s="28">
        <v>44684</v>
      </c>
      <c r="B67" s="29" t="s">
        <v>35</v>
      </c>
    </row>
    <row r="68" spans="1:2" x14ac:dyDescent="0.4">
      <c r="A68" s="28">
        <v>44685</v>
      </c>
      <c r="B68" s="29" t="s">
        <v>34</v>
      </c>
    </row>
    <row r="69" spans="1:2" x14ac:dyDescent="0.4">
      <c r="A69" s="28">
        <v>44686</v>
      </c>
      <c r="B69" s="29" t="s">
        <v>33</v>
      </c>
    </row>
    <row r="70" spans="1:2" x14ac:dyDescent="0.4">
      <c r="A70" s="28">
        <v>44760</v>
      </c>
      <c r="B70" s="29" t="s">
        <v>32</v>
      </c>
    </row>
    <row r="71" spans="1:2" x14ac:dyDescent="0.4">
      <c r="A71" s="28">
        <v>44784</v>
      </c>
      <c r="B71" s="29" t="s">
        <v>31</v>
      </c>
    </row>
    <row r="72" spans="1:2" x14ac:dyDescent="0.4">
      <c r="A72" s="28">
        <v>44823</v>
      </c>
      <c r="B72" s="29" t="s">
        <v>30</v>
      </c>
    </row>
    <row r="73" spans="1:2" x14ac:dyDescent="0.4">
      <c r="A73" s="28">
        <v>44827</v>
      </c>
      <c r="B73" s="29" t="s">
        <v>29</v>
      </c>
    </row>
    <row r="74" spans="1:2" x14ac:dyDescent="0.4">
      <c r="A74" s="28">
        <v>44844</v>
      </c>
      <c r="B74" s="29" t="s">
        <v>28</v>
      </c>
    </row>
    <row r="75" spans="1:2" x14ac:dyDescent="0.4">
      <c r="A75" s="28">
        <v>44868</v>
      </c>
      <c r="B75" s="29" t="s">
        <v>27</v>
      </c>
    </row>
    <row r="76" spans="1:2" x14ac:dyDescent="0.4">
      <c r="A76" s="28">
        <v>44888</v>
      </c>
      <c r="B76" s="29" t="s">
        <v>26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Setting</vt:lpstr>
      <vt:lpstr>Template</vt:lpstr>
      <vt:lpstr>List</vt:lpstr>
      <vt:lpstr>Holiday</vt:lpstr>
      <vt:lpstr>Day</vt:lpstr>
      <vt:lpstr>Days</vt:lpstr>
      <vt:lpstr>End</vt:lpstr>
      <vt:lpstr>Footer</vt:lpstr>
      <vt:lpstr>Grade</vt:lpstr>
      <vt:lpstr>Header</vt:lpstr>
      <vt:lpstr>Template!Print_Area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2019-03-19T11:19:16Z</cp:lastPrinted>
  <dcterms:created xsi:type="dcterms:W3CDTF">2019-03-19T00:56:09Z</dcterms:created>
  <dcterms:modified xsi:type="dcterms:W3CDTF">2019-03-19T14:12:45Z</dcterms:modified>
</cp:coreProperties>
</file>